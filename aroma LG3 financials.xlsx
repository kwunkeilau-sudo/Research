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ddypun/Downloads/"/>
    </mc:Choice>
  </mc:AlternateContent>
  <xr:revisionPtr revIDLastSave="0" documentId="13_ncr:1_{93DF6DC8-B056-4349-8803-9530ABBA2BC0}" xr6:coauthVersionLast="47" xr6:coauthVersionMax="47" xr10:uidLastSave="{00000000-0000-0000-0000-000000000000}"/>
  <bookViews>
    <workbookView xWindow="1560" yWindow="500" windowWidth="25640" windowHeight="13940" xr2:uid="{626F3EB1-8E8B-0A43-A99A-02C0043104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2" i="1" l="1"/>
  <c r="H15" i="1"/>
  <c r="L17" i="1"/>
  <c r="H10" i="1" s="1"/>
  <c r="H8" i="1"/>
  <c r="H6" i="1"/>
  <c r="H7" i="1" s="1"/>
  <c r="D16" i="1"/>
  <c r="D18" i="1" s="1"/>
  <c r="H17" i="1" l="1"/>
  <c r="H19" i="1" s="1"/>
  <c r="H20" i="1" l="1"/>
  <c r="H22" i="1" s="1"/>
</calcChain>
</file>

<file path=xl/sharedStrings.xml><?xml version="1.0" encoding="utf-8"?>
<sst xmlns="http://schemas.openxmlformats.org/spreadsheetml/2006/main" count="42" uniqueCount="41">
  <si>
    <t>total investment</t>
  </si>
  <si>
    <t>rental, util deposit</t>
  </si>
  <si>
    <t>first month rent &amp; util</t>
  </si>
  <si>
    <t xml:space="preserve">restaurant license </t>
  </si>
  <si>
    <t xml:space="preserve">pre-opening </t>
  </si>
  <si>
    <t xml:space="preserve">PR </t>
  </si>
  <si>
    <t>design fee</t>
  </si>
  <si>
    <t>wine inventory</t>
  </si>
  <si>
    <t>month 1 salary</t>
  </si>
  <si>
    <t>first shipment of wine on  (60  days credit)</t>
  </si>
  <si>
    <t>total capex</t>
  </si>
  <si>
    <t>spare</t>
  </si>
  <si>
    <t>Revenue</t>
  </si>
  <si>
    <t>COGS</t>
  </si>
  <si>
    <t>GP</t>
  </si>
  <si>
    <t>rent</t>
  </si>
  <si>
    <t>mgt fee</t>
  </si>
  <si>
    <t>Salary</t>
  </si>
  <si>
    <t>Others</t>
  </si>
  <si>
    <t>Utilities</t>
  </si>
  <si>
    <t>finance/hr</t>
  </si>
  <si>
    <t>Total expenses</t>
  </si>
  <si>
    <t>EBITDA</t>
  </si>
  <si>
    <t>Incentive fee</t>
  </si>
  <si>
    <t>EBITDA to shareholders</t>
  </si>
  <si>
    <t>senior front of house</t>
  </si>
  <si>
    <t>somm</t>
  </si>
  <si>
    <t xml:space="preserve">chef 1 </t>
  </si>
  <si>
    <t>chef 2</t>
  </si>
  <si>
    <t>chef 3</t>
  </si>
  <si>
    <t>Staff breakdown</t>
  </si>
  <si>
    <t>waitstaff 1</t>
  </si>
  <si>
    <t>waitstaff 2</t>
  </si>
  <si>
    <t>part time</t>
  </si>
  <si>
    <t>entry valuation?</t>
  </si>
  <si>
    <t>Social Marketing</t>
  </si>
  <si>
    <t>credit card fees</t>
  </si>
  <si>
    <t>chef 4/dishwasher</t>
  </si>
  <si>
    <t>In 2022, due to covid, they did approximately $5.1mn</t>
  </si>
  <si>
    <t>Next door revenue in 2021 $6.5mn</t>
  </si>
  <si>
    <t>fit out: wine fridge, equipment and 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</si>
</sst>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_);_(* \(#,##0\);_(* &quot;-&quot;?_);_(@_)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222222"/>
      <name val="Arial"/>
      <family val="2"/>
    </font>
    <font>
      <sz val="12"/>
      <color rgb="FF222222"/>
      <name val="Arial"/>
      <family val="2"/>
    </font>
    <font>
      <b/>
      <sz val="12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1" xfId="0" applyFont="1" applyBorder="1"/>
    <xf numFmtId="0" fontId="0" fillId="0" borderId="1" xfId="0" applyBorder="1"/>
    <xf numFmtId="0" fontId="4" fillId="0" borderId="0" xfId="0" applyFont="1"/>
    <xf numFmtId="164" fontId="0" fillId="0" borderId="0" xfId="1" applyNumberFormat="1" applyFont="1"/>
    <xf numFmtId="9" fontId="0" fillId="0" borderId="0" xfId="0" applyNumberFormat="1"/>
    <xf numFmtId="165" fontId="0" fillId="0" borderId="0" xfId="0" applyNumberFormat="1"/>
    <xf numFmtId="0" fontId="3" fillId="0" borderId="0" xfId="0" applyFont="1"/>
    <xf numFmtId="164" fontId="2" fillId="0" borderId="0" xfId="1" applyNumberFormat="1" applyFont="1"/>
    <xf numFmtId="0" fontId="2" fillId="0" borderId="0" xfId="0" applyFont="1"/>
    <xf numFmtId="9" fontId="5" fillId="0" borderId="0" xfId="2" applyFont="1"/>
    <xf numFmtId="9" fontId="5" fillId="0" borderId="0" xfId="0" applyNumberFormat="1" applyFont="1"/>
    <xf numFmtId="164" fontId="0" fillId="0" borderId="0" xfId="0" applyNumberFormat="1"/>
    <xf numFmtId="0" fontId="2" fillId="0" borderId="1" xfId="0" applyFont="1" applyBorder="1"/>
    <xf numFmtId="0" fontId="0" fillId="0" borderId="0" xfId="0" applyFont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29</xdr:row>
      <xdr:rowOff>0</xdr:rowOff>
    </xdr:from>
    <xdr:to>
      <xdr:col>2</xdr:col>
      <xdr:colOff>304800</xdr:colOff>
      <xdr:row>30</xdr:row>
      <xdr:rowOff>101600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B1CF80AD-2034-AAF4-5BC8-E5980123BFD7}"/>
            </a:ext>
          </a:extLst>
        </xdr:cNvPr>
        <xdr:cNvSpPr>
          <a:spLocks noChangeAspect="1" noChangeArrowheads="1"/>
        </xdr:cNvSpPr>
      </xdr:nvSpPr>
      <xdr:spPr bwMode="auto">
        <a:xfrm>
          <a:off x="1651000" y="589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304800</xdr:colOff>
      <xdr:row>30</xdr:row>
      <xdr:rowOff>101600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78129E6E-CF34-4BC2-7038-7002F0A856EF}"/>
            </a:ext>
          </a:extLst>
        </xdr:cNvPr>
        <xdr:cNvSpPr>
          <a:spLocks noChangeAspect="1" noChangeArrowheads="1"/>
        </xdr:cNvSpPr>
      </xdr:nvSpPr>
      <xdr:spPr bwMode="auto">
        <a:xfrm>
          <a:off x="1651000" y="589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2590800</xdr:colOff>
      <xdr:row>60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EC37F6-B643-82FB-C9D8-65C44AC1F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1000" y="5689600"/>
          <a:ext cx="2590800" cy="650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AD414-3DDC-8743-BFFF-2689D466C8C0}">
  <dimension ref="C4:L27"/>
  <sheetViews>
    <sheetView tabSelected="1" workbookViewId="0">
      <selection activeCell="D11" sqref="D11"/>
    </sheetView>
  </sheetViews>
  <sheetFormatPr baseColWidth="10" defaultRowHeight="16" x14ac:dyDescent="0.2"/>
  <cols>
    <col min="3" max="3" width="40.83203125" customWidth="1"/>
    <col min="7" max="7" width="22.5" customWidth="1"/>
    <col min="8" max="8" width="13.33203125" customWidth="1"/>
    <col min="11" max="11" width="22.1640625" customWidth="1"/>
    <col min="12" max="12" width="14" customWidth="1"/>
  </cols>
  <sheetData>
    <row r="4" spans="3:12" x14ac:dyDescent="0.2">
      <c r="C4" s="1" t="s">
        <v>0</v>
      </c>
      <c r="D4" s="2"/>
      <c r="G4" s="9" t="s">
        <v>12</v>
      </c>
      <c r="H4" s="8">
        <v>800000</v>
      </c>
      <c r="K4" s="13" t="s">
        <v>30</v>
      </c>
      <c r="L4" s="13"/>
    </row>
    <row r="5" spans="3:12" x14ac:dyDescent="0.2">
      <c r="C5" s="3" t="s">
        <v>40</v>
      </c>
      <c r="D5" s="4">
        <v>800000</v>
      </c>
    </row>
    <row r="6" spans="3:12" x14ac:dyDescent="0.2">
      <c r="C6" s="3" t="s">
        <v>1</v>
      </c>
      <c r="D6" s="4">
        <v>160000</v>
      </c>
      <c r="G6" t="s">
        <v>13</v>
      </c>
      <c r="H6" s="4">
        <f>H4*I6</f>
        <v>216000</v>
      </c>
      <c r="I6" s="10">
        <v>0.27</v>
      </c>
      <c r="K6" t="s">
        <v>25</v>
      </c>
      <c r="L6" s="4">
        <v>25000</v>
      </c>
    </row>
    <row r="7" spans="3:12" x14ac:dyDescent="0.2">
      <c r="C7" t="s">
        <v>2</v>
      </c>
      <c r="D7" s="4">
        <v>56000</v>
      </c>
      <c r="G7" t="s">
        <v>14</v>
      </c>
      <c r="H7" s="4">
        <f>H4-H6</f>
        <v>584000</v>
      </c>
      <c r="K7" t="s">
        <v>26</v>
      </c>
      <c r="L7" s="4">
        <v>31000</v>
      </c>
    </row>
    <row r="8" spans="3:12" x14ac:dyDescent="0.2">
      <c r="C8" s="3" t="s">
        <v>3</v>
      </c>
      <c r="D8" s="4">
        <v>45000</v>
      </c>
      <c r="G8" t="s">
        <v>15</v>
      </c>
      <c r="H8" s="4">
        <f>IF(H4*I8&gt;40000, H4*I8,40000)</f>
        <v>96000</v>
      </c>
      <c r="I8" s="11">
        <v>0.12</v>
      </c>
      <c r="K8" t="s">
        <v>31</v>
      </c>
      <c r="L8" s="4">
        <v>18000</v>
      </c>
    </row>
    <row r="9" spans="3:12" x14ac:dyDescent="0.2">
      <c r="C9" s="3" t="s">
        <v>4</v>
      </c>
      <c r="D9" s="4">
        <v>90000</v>
      </c>
      <c r="G9" t="s">
        <v>16</v>
      </c>
      <c r="H9" s="4">
        <v>22000</v>
      </c>
      <c r="K9" t="s">
        <v>32</v>
      </c>
      <c r="L9" s="4">
        <v>18000</v>
      </c>
    </row>
    <row r="10" spans="3:12" x14ac:dyDescent="0.2">
      <c r="C10" s="3" t="s">
        <v>5</v>
      </c>
      <c r="D10" s="4">
        <v>80000</v>
      </c>
      <c r="G10" t="s">
        <v>17</v>
      </c>
      <c r="H10" s="4">
        <f>L17</f>
        <v>191000</v>
      </c>
      <c r="K10" t="s">
        <v>33</v>
      </c>
      <c r="L10" s="4">
        <v>12000</v>
      </c>
    </row>
    <row r="11" spans="3:12" x14ac:dyDescent="0.2">
      <c r="C11" s="3" t="s">
        <v>6</v>
      </c>
      <c r="D11" s="4">
        <v>100000</v>
      </c>
      <c r="G11" t="s">
        <v>35</v>
      </c>
      <c r="H11" s="4">
        <v>13000</v>
      </c>
      <c r="L11" s="4"/>
    </row>
    <row r="12" spans="3:12" x14ac:dyDescent="0.2">
      <c r="C12" s="3" t="s">
        <v>11</v>
      </c>
      <c r="D12" s="4">
        <v>80000</v>
      </c>
      <c r="G12" t="s">
        <v>18</v>
      </c>
      <c r="H12" s="4">
        <f>H4*I12</f>
        <v>32000</v>
      </c>
      <c r="I12" s="11">
        <v>0.04</v>
      </c>
      <c r="K12" t="s">
        <v>27</v>
      </c>
      <c r="L12" s="4">
        <v>28000</v>
      </c>
    </row>
    <row r="13" spans="3:12" x14ac:dyDescent="0.2">
      <c r="C13" s="3" t="s">
        <v>7</v>
      </c>
      <c r="D13" s="4">
        <v>70000</v>
      </c>
      <c r="G13" t="s">
        <v>19</v>
      </c>
      <c r="H13" s="4">
        <v>15000</v>
      </c>
      <c r="K13" t="s">
        <v>28</v>
      </c>
      <c r="L13" s="4">
        <v>21000</v>
      </c>
    </row>
    <row r="14" spans="3:12" x14ac:dyDescent="0.2">
      <c r="C14" s="3" t="s">
        <v>8</v>
      </c>
      <c r="D14" s="4">
        <v>90000</v>
      </c>
      <c r="G14" t="s">
        <v>20</v>
      </c>
      <c r="H14" s="4">
        <v>25000</v>
      </c>
      <c r="K14" t="s">
        <v>29</v>
      </c>
      <c r="L14" s="4">
        <v>20000</v>
      </c>
    </row>
    <row r="15" spans="3:12" x14ac:dyDescent="0.2">
      <c r="C15" s="3"/>
      <c r="G15" t="s">
        <v>36</v>
      </c>
      <c r="H15" s="6">
        <f>H4*1.5%</f>
        <v>12000</v>
      </c>
      <c r="K15" t="s">
        <v>37</v>
      </c>
      <c r="L15" s="4">
        <v>18000</v>
      </c>
    </row>
    <row r="16" spans="3:12" x14ac:dyDescent="0.2">
      <c r="C16" s="7" t="s">
        <v>10</v>
      </c>
      <c r="D16" s="8">
        <f>SUM(D5:D14)</f>
        <v>1571000</v>
      </c>
      <c r="G16" t="s">
        <v>16</v>
      </c>
      <c r="L16" s="4"/>
    </row>
    <row r="17" spans="3:12" x14ac:dyDescent="0.2">
      <c r="G17" t="s">
        <v>21</v>
      </c>
      <c r="H17" s="4">
        <f>SUM(H8:H14)</f>
        <v>394000</v>
      </c>
      <c r="L17" s="4">
        <f>SUM(L6:L15)</f>
        <v>191000</v>
      </c>
    </row>
    <row r="18" spans="3:12" x14ac:dyDescent="0.2">
      <c r="C18" s="5" t="s">
        <v>34</v>
      </c>
      <c r="D18" s="6">
        <f>D16*1.25</f>
        <v>1963750</v>
      </c>
      <c r="E18" s="5"/>
      <c r="H18" s="4"/>
      <c r="L18" s="4"/>
    </row>
    <row r="19" spans="3:12" x14ac:dyDescent="0.2">
      <c r="G19" s="9" t="s">
        <v>22</v>
      </c>
      <c r="H19" s="8">
        <f>H7-H17</f>
        <v>190000</v>
      </c>
      <c r="L19" s="4"/>
    </row>
    <row r="20" spans="3:12" x14ac:dyDescent="0.2">
      <c r="G20" t="s">
        <v>23</v>
      </c>
      <c r="H20" s="4">
        <f>H19*I20</f>
        <v>22800</v>
      </c>
      <c r="I20" s="5">
        <v>0.12</v>
      </c>
    </row>
    <row r="21" spans="3:12" x14ac:dyDescent="0.2">
      <c r="C21" t="s">
        <v>9</v>
      </c>
      <c r="H21" s="4"/>
    </row>
    <row r="22" spans="3:12" x14ac:dyDescent="0.2">
      <c r="G22" t="s">
        <v>24</v>
      </c>
      <c r="H22" s="12">
        <f>H19-H20</f>
        <v>167200</v>
      </c>
    </row>
    <row r="26" spans="3:12" x14ac:dyDescent="0.2">
      <c r="C26" s="14" t="s">
        <v>38</v>
      </c>
    </row>
    <row r="27" spans="3:12" x14ac:dyDescent="0.2">
      <c r="C27" s="14" t="s">
        <v>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2023-02-27T23:24:20Z</dcterms:created>
  <dcterms:modified xsi:type="dcterms:W3CDTF">2023-02-28T01:10:16Z</dcterms:modified>
</cp:coreProperties>
</file>