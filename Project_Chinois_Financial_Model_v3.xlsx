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COGS" sheetId="4" state="visible" r:id="rId4"/>
    <sheet xmlns:r="http://schemas.openxmlformats.org/officeDocument/2006/relationships" name="OpEx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Investment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#,##0;\(#,##0\);\-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1F4E79"/>
      <sz val="22"/>
    </font>
    <font>
      <name val="Arial"/>
      <charset val="1"/>
      <family val="0"/>
      <color rgb="FF333333"/>
      <sz val="14"/>
    </font>
    <font>
      <name val="Arial"/>
      <charset val="1"/>
      <family val="0"/>
      <color rgb="FF666666"/>
      <sz val="12"/>
    </font>
    <font>
      <name val="Arial"/>
      <charset val="1"/>
      <family val="0"/>
      <color rgb="FF999999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color rgb="FF666666"/>
      <sz val="10"/>
    </font>
    <font>
      <name val="Arial"/>
      <charset val="1"/>
      <family val="0"/>
      <i val="1"/>
      <color rgb="FF999999"/>
      <sz val="9"/>
    </font>
    <font>
      <name val="Arial"/>
      <charset val="1"/>
      <family val="0"/>
      <b val="1"/>
      <color rgb="FF000000"/>
      <sz val="14"/>
    </font>
    <font>
      <name val="Arial"/>
      <charset val="1"/>
      <family val="0"/>
      <i val="1"/>
      <color rgb="FF0000FF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1F4E7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08080"/>
      <sz val="10"/>
    </font>
    <font>
      <name val="Arial"/>
      <charset val="1"/>
      <family val="0"/>
      <color rgb="FF808080"/>
      <sz val="9"/>
    </font>
    <font>
      <name val="Arial"/>
      <family val="2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1F4E79"/>
      <sz val="12"/>
    </font>
  </fonts>
  <fills count="5">
    <fill>
      <patternFill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3">
    <border>
      <left/>
      <right/>
      <top/>
      <bottom/>
      <diagonal/>
    </border>
    <border>
      <left/>
      <right/>
      <top style="thin"/>
      <bottom style="double"/>
      <diagonal/>
    </border>
    <border>
      <left/>
      <right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3" fontId="16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6" fillId="3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3" fontId="9" fillId="3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center" vertical="bottom" wrapText="1"/>
    </xf>
    <xf numFmtId="3" fontId="16" fillId="0" borderId="0" applyAlignment="1" pivotButton="0" quotePrefix="0" xfId="0">
      <alignment horizontal="general" vertical="bottom"/>
    </xf>
    <xf numFmtId="164" fontId="2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6" fontId="15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6" fontId="20" fillId="0" borderId="0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7" fontId="9" fillId="0" borderId="2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7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167" fontId="22" fillId="0" borderId="1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2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4" fontId="23" fillId="0" borderId="0" applyAlignment="1" pivotButton="0" quotePrefix="0" xfId="0">
      <alignment horizontal="general" vertical="bottom"/>
    </xf>
    <xf numFmtId="166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7" fontId="2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general" vertical="bottom"/>
    </xf>
    <xf numFmtId="167" fontId="2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/>
    </xf>
    <xf numFmtId="167" fontId="27" fillId="0" borderId="1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3" fontId="2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3" fontId="16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6" fillId="3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3" fontId="9" fillId="3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center" vertical="bottom" wrapText="1"/>
    </xf>
    <xf numFmtId="3" fontId="16" fillId="0" borderId="0" applyAlignment="1" pivotButton="0" quotePrefix="0" xfId="0">
      <alignment horizontal="general" vertical="bottom"/>
    </xf>
    <xf numFmtId="164" fontId="2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6" fontId="15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6" fontId="20" fillId="0" borderId="0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7" fontId="9" fillId="0" borderId="2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7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167" fontId="22" fillId="0" borderId="1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2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4" fontId="23" fillId="0" borderId="0" applyAlignment="1" pivotButton="0" quotePrefix="0" xfId="0">
      <alignment horizontal="general" vertical="bottom"/>
    </xf>
    <xf numFmtId="166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7" fontId="2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general" vertical="bottom"/>
    </xf>
    <xf numFmtId="167" fontId="2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/>
    </xf>
    <xf numFmtId="167" fontId="27" fillId="0" borderId="1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3" fontId="2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BF8F00"/>
      <rgbColor rgb="FFFF6600"/>
      <rgbColor rgb="FF666666"/>
      <rgbColor rgb="FF999999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B10" authorId="0" shapeId="0">
      <text>
        <t>Base part-time already included in Wages via Assumptions staff table. This line is for additional casual staff above base plan.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C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40" customWidth="1" style="63" min="2" max="2"/>
    <col width="30" customWidth="1" style="63" min="3" max="3"/>
    <col width="20" customWidth="1" style="63" min="4" max="4"/>
  </cols>
  <sheetData>
    <row r="1"/>
    <row r="2"/>
    <row r="3" ht="15" customHeight="1" s="64">
      <c r="B3" s="65" t="inlineStr">
        <is>
          <t>CONFIDENTIAL</t>
        </is>
      </c>
    </row>
    <row r="4"/>
    <row r="5" ht="26.25" customHeight="1" s="64">
      <c r="B5" s="66" t="inlineStr">
        <is>
          <t>Project Chinois</t>
        </is>
      </c>
    </row>
    <row r="6" ht="17.25" customHeight="1" s="64">
      <c r="B6" s="67" t="inlineStr">
        <is>
          <t>Chinese Wine Bistro — Financial Model</t>
        </is>
      </c>
    </row>
    <row r="7"/>
    <row r="8" ht="15" customHeight="1" s="64">
      <c r="B8" s="68" t="inlineStr">
        <is>
          <t>3-Year Financial Forecast</t>
        </is>
      </c>
    </row>
    <row r="9" ht="15" customHeight="1" s="64">
      <c r="B9" s="69" t="inlineStr">
        <is>
          <t>Draft v1.0 — March 2026</t>
        </is>
      </c>
    </row>
    <row r="10"/>
    <row r="11"/>
    <row r="12" ht="15" customHeight="1" s="64">
      <c r="B12" s="70" t="inlineStr">
        <is>
          <t>Total Investment</t>
        </is>
      </c>
      <c r="C12" s="71">
        <f>Investment!C15</f>
        <v/>
      </c>
    </row>
    <row r="13" ht="15" customHeight="1" s="64">
      <c r="B13" s="70" t="inlineStr">
        <is>
          <t>Year 1 Revenue (Projected)</t>
        </is>
      </c>
      <c r="C13" s="71">
        <f>'P&amp;L'!O6</f>
        <v/>
      </c>
    </row>
    <row r="14" ht="15" customHeight="1" s="64">
      <c r="B14" s="70" t="inlineStr">
        <is>
          <t>Year 1 EBITDA (Projected)</t>
        </is>
      </c>
      <c r="C14" s="71">
        <f>'P&amp;L'!O30</f>
        <v/>
      </c>
    </row>
    <row r="15" ht="15" customHeight="1" s="64">
      <c r="B15" s="70" t="inlineStr">
        <is>
          <t>Year 1 EBITDA Margin</t>
        </is>
      </c>
      <c r="C15" s="72">
        <f>'P&amp;L'!O31</f>
        <v/>
      </c>
    </row>
    <row r="16" ht="15" customHeight="1" s="64">
      <c r="B16" s="70" t="inlineStr">
        <is>
          <t>Payback Period (months)</t>
        </is>
      </c>
      <c r="C16" s="73">
        <f>Investment!C28</f>
        <v/>
      </c>
    </row>
    <row r="17"/>
    <row r="18"/>
    <row r="19" ht="15" customHeight="1" s="64">
      <c r="B19" s="74" t="inlineStr">
        <is>
          <t>Prepared for: The Wine Company Limited</t>
        </is>
      </c>
    </row>
    <row r="20" ht="15" customHeight="1" s="64">
      <c r="B20" s="75" t="inlineStr">
        <is>
          <t>All figures in HKD unless otherwise stated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38" customWidth="1" style="63" min="2" max="2"/>
    <col width="18" customWidth="1" style="63" min="3" max="3"/>
    <col width="30" customWidth="1" style="63" min="4" max="4"/>
    <col width="5" customWidth="1" style="63" min="5" max="5"/>
    <col width="38" customWidth="1" style="63" min="6" max="6"/>
    <col width="18" customWidth="1" style="63" min="7" max="7"/>
    <col width="30" customWidth="1" style="63" min="8" max="8"/>
  </cols>
  <sheetData>
    <row r="1" ht="17.25" customHeight="1" s="64">
      <c r="B1" s="76" t="inlineStr">
        <is>
          <t>MASTER ASSUMPTIONS</t>
        </is>
      </c>
    </row>
    <row r="2" ht="15" customHeight="1" s="64">
      <c r="B2" s="77" t="inlineStr">
        <is>
          <t>Blue cells = inputs / Yellow highlight = key assumptions</t>
        </is>
      </c>
    </row>
    <row r="3"/>
    <row r="4" ht="15" customHeight="1" s="64">
      <c r="B4" s="78" t="inlineStr">
        <is>
          <t>VENUE &amp; CAPACITY</t>
        </is>
      </c>
      <c r="C4" s="79" t="n"/>
      <c r="D4" s="79" t="n"/>
      <c r="F4" s="78" t="inlineStr">
        <is>
          <t>STAFFING (Monthly Salary HKD)</t>
        </is>
      </c>
      <c r="G4" s="79" t="n"/>
      <c r="H4" s="79" t="n"/>
    </row>
    <row r="5" ht="15" customHeight="1" s="64">
      <c r="B5" s="80" t="inlineStr">
        <is>
          <t>VIP Room 1 — Seats</t>
        </is>
      </c>
      <c r="C5" s="81" t="n">
        <v>6</v>
      </c>
      <c r="D5" s="82" t="inlineStr">
        <is>
          <t>Small private room</t>
        </is>
      </c>
      <c r="F5" s="70" t="inlineStr">
        <is>
          <t>Position</t>
        </is>
      </c>
      <c r="G5" s="70" t="inlineStr">
        <is>
          <t>Headcount</t>
        </is>
      </c>
      <c r="H5" s="70" t="inlineStr">
        <is>
          <t>Monthly Salary</t>
        </is>
      </c>
    </row>
    <row r="6" ht="15" customHeight="1" s="64">
      <c r="B6" s="80" t="inlineStr">
        <is>
          <t>VIP Room 2 — Seats</t>
        </is>
      </c>
      <c r="C6" s="81" t="n">
        <v>12</v>
      </c>
      <c r="D6" s="82" t="inlineStr">
        <is>
          <t>Large private room</t>
        </is>
      </c>
      <c r="F6" s="80" t="inlineStr">
        <is>
          <t>Restaurant Manager</t>
        </is>
      </c>
      <c r="G6" s="81" t="n">
        <v>1</v>
      </c>
      <c r="H6" s="81" t="n">
        <v>35000</v>
      </c>
    </row>
    <row r="7" ht="15" customHeight="1" s="64">
      <c r="B7" s="80" t="inlineStr">
        <is>
          <t>Main / Outdoor Area — Seats</t>
        </is>
      </c>
      <c r="C7" s="81" t="n">
        <v>30</v>
      </c>
      <c r="F7" s="80" t="inlineStr">
        <is>
          <t>Sommelier</t>
        </is>
      </c>
      <c r="G7" s="81" t="n">
        <v>1</v>
      </c>
      <c r="H7" s="81" t="n">
        <v>33000</v>
      </c>
    </row>
    <row r="8" ht="15" customHeight="1" s="64">
      <c r="B8" s="80" t="inlineStr">
        <is>
          <t>Total Seats</t>
        </is>
      </c>
      <c r="C8" s="83">
        <f>C5+C6+C7</f>
        <v/>
      </c>
      <c r="F8" s="80" t="inlineStr">
        <is>
          <t>Waiter 1 (Senior)</t>
        </is>
      </c>
      <c r="G8" s="81" t="n">
        <v>1</v>
      </c>
      <c r="H8" s="81" t="n">
        <v>24000</v>
      </c>
    </row>
    <row r="9" ht="15" customHeight="1" s="64">
      <c r="B9" s="80" t="inlineStr">
        <is>
          <t>Operating Days per Week</t>
        </is>
      </c>
      <c r="C9" s="81" t="n">
        <v>7</v>
      </c>
      <c r="F9" s="80" t="inlineStr">
        <is>
          <t>Waiter 2</t>
        </is>
      </c>
      <c r="G9" s="81" t="n">
        <v>1</v>
      </c>
      <c r="H9" s="81" t="n">
        <v>20000</v>
      </c>
    </row>
    <row r="10" ht="15" customHeight="1" s="64">
      <c r="B10" s="80" t="inlineStr">
        <is>
          <t>Lunch Service</t>
        </is>
      </c>
      <c r="C10" s="84" t="inlineStr">
        <is>
          <t>Yes</t>
        </is>
      </c>
      <c r="D10" s="82" t="inlineStr">
        <is>
          <t>1 turn lunch</t>
        </is>
      </c>
      <c r="F10" s="80" t="inlineStr">
        <is>
          <t>Waiter 3</t>
        </is>
      </c>
      <c r="G10" s="81" t="n">
        <v>1</v>
      </c>
      <c r="H10" s="81" t="n">
        <v>20000</v>
      </c>
    </row>
    <row r="11" ht="15" customHeight="1" s="64">
      <c r="F11" s="80" t="inlineStr">
        <is>
          <t>Waiter 4</t>
        </is>
      </c>
      <c r="G11" s="81" t="n">
        <v>1</v>
      </c>
      <c r="H11" s="81" t="n">
        <v>20000</v>
      </c>
    </row>
    <row r="12" ht="15" customHeight="1" s="64">
      <c r="F12" s="80" t="inlineStr">
        <is>
          <t>Waiter 5</t>
        </is>
      </c>
      <c r="G12" s="81" t="n">
        <v>1</v>
      </c>
      <c r="H12" s="81" t="n">
        <v>20000</v>
      </c>
    </row>
    <row r="13" ht="15" customHeight="1" s="64">
      <c r="B13" s="80" t="inlineStr">
        <is>
          <t>Dinner Service</t>
        </is>
      </c>
      <c r="C13" s="84" t="inlineStr">
        <is>
          <t>Yes</t>
        </is>
      </c>
      <c r="D13" s="82" t="inlineStr">
        <is>
          <t>1 turn dinner</t>
        </is>
      </c>
      <c r="F13" s="80" t="inlineStr">
        <is>
          <t>Part-time FOH (est.)</t>
        </is>
      </c>
      <c r="G13" s="81" t="n">
        <v>1</v>
      </c>
      <c r="H13" s="81" t="n">
        <v>14000</v>
      </c>
    </row>
    <row r="14" ht="15" customHeight="1" s="64">
      <c r="B14" s="82" t="inlineStr">
        <is>
          <t>Lunch + Dinner (see Revenue tab)</t>
        </is>
      </c>
      <c r="C14" s="81" t="n">
        <v>2</v>
      </c>
      <c r="D14" s="82" t="inlineStr">
        <is>
          <t>Lunch + Dinner</t>
        </is>
      </c>
      <c r="F14" s="80" t="inlineStr">
        <is>
          <t>Head Chef</t>
        </is>
      </c>
      <c r="G14" s="81" t="n">
        <v>1</v>
      </c>
      <c r="H14" s="81" t="n">
        <v>38000</v>
      </c>
    </row>
    <row r="15" ht="15" customHeight="1" s="64">
      <c r="F15" s="80" t="inlineStr">
        <is>
          <t>Sous Chef</t>
        </is>
      </c>
      <c r="G15" s="81" t="n">
        <v>1</v>
      </c>
      <c r="H15" s="81" t="n">
        <v>28000</v>
      </c>
    </row>
    <row r="16" ht="15" customHeight="1" s="64">
      <c r="B16" s="78" t="inlineStr">
        <is>
          <t>PER HEAD SPENDING (HKD)</t>
        </is>
      </c>
      <c r="C16" s="79" t="n"/>
      <c r="D16" s="79" t="n"/>
      <c r="F16" s="80" t="inlineStr">
        <is>
          <t>Kitchen Staff 1</t>
        </is>
      </c>
      <c r="G16" s="81" t="n">
        <v>1</v>
      </c>
      <c r="H16" s="81" t="n">
        <v>20000</v>
      </c>
    </row>
    <row r="17" ht="15" customHeight="1" s="64">
      <c r="B17" s="85" t="inlineStr">
        <is>
          <t>DINNER</t>
        </is>
      </c>
      <c r="F17" s="80" t="inlineStr">
        <is>
          <t>Kitchen Staff 2</t>
        </is>
      </c>
      <c r="G17" s="81" t="n">
        <v>1</v>
      </c>
      <c r="H17" s="81" t="n">
        <v>18000</v>
      </c>
    </row>
    <row r="18" ht="15" customHeight="1" s="64">
      <c r="B18" s="80" t="inlineStr">
        <is>
          <t>VIP Room — Dinner Per Head (incl. wine)</t>
        </is>
      </c>
      <c r="C18" s="81" t="n">
        <v>1600</v>
      </c>
      <c r="D18" s="82" t="inlineStr">
        <is>
          <t>Same as v1</t>
        </is>
      </c>
      <c r="F18" s="80" t="inlineStr">
        <is>
          <t>Kitchen Staff 3</t>
        </is>
      </c>
      <c r="G18" s="81" t="n">
        <v>1</v>
      </c>
      <c r="H18" s="81" t="n">
        <v>18000</v>
      </c>
    </row>
    <row r="19" ht="15" customHeight="1" s="64">
      <c r="B19" s="80" t="inlineStr">
        <is>
          <t>Main Area — Dinner Per Head (incl. wine)</t>
        </is>
      </c>
      <c r="C19" s="81" t="n">
        <v>1000</v>
      </c>
      <c r="F19" s="80" t="inlineStr">
        <is>
          <t>Dishwashing Staff</t>
        </is>
      </c>
      <c r="G19" s="81" t="n">
        <v>1</v>
      </c>
      <c r="H19" s="81" t="n">
        <v>16000</v>
      </c>
    </row>
    <row r="20" ht="15" customHeight="1" s="64">
      <c r="B20" s="80" t="inlineStr">
        <is>
          <t>Dinner Food % of Spend</t>
        </is>
      </c>
      <c r="C20" s="86" t="n">
        <v>0.65</v>
      </c>
      <c r="D20" s="82" t="inlineStr">
        <is>
          <t>Wine = 35%</t>
        </is>
      </c>
      <c r="F20" s="70" t="inlineStr">
        <is>
          <t>Total Headcount</t>
        </is>
      </c>
      <c r="G20" s="87">
        <f>SUM(G6:G19)</f>
        <v/>
      </c>
    </row>
    <row r="21" ht="15" customHeight="1" s="64">
      <c r="F21" s="70" t="inlineStr">
        <is>
          <t>Total Monthly Salary</t>
        </is>
      </c>
      <c r="H21" s="87">
        <f>G6*H6+G7*H7+G8*H8+G9*H9+G10*H10+G11*H11+G12*H12+G13*H13+G14*H14+G15*H15+G16*H16+G17*H17+G18*H18+G19*H19</f>
        <v/>
      </c>
    </row>
    <row r="22" ht="15" customHeight="1" s="64">
      <c r="B22" s="85" t="inlineStr">
        <is>
          <t>LUNCH</t>
        </is>
      </c>
      <c r="F22" s="80" t="inlineStr">
        <is>
          <t>MPF Employer Contribution %</t>
        </is>
      </c>
      <c r="H22" s="86" t="n">
        <v>0.05</v>
      </c>
    </row>
    <row r="23" ht="15" customHeight="1" s="64">
      <c r="B23" s="80" t="inlineStr">
        <is>
          <t>VIP Room — Lunch Per Head (incl. wine)</t>
        </is>
      </c>
      <c r="C23" s="81" t="n">
        <v>500</v>
      </c>
      <c r="F23" s="70" t="inlineStr">
        <is>
          <t>Total Monthly Staff Cost (incl. MPF)</t>
        </is>
      </c>
      <c r="G23" s="81" t="n">
        <v>1</v>
      </c>
      <c r="H23" s="88">
        <f>H21*(1+H22)</f>
        <v/>
      </c>
    </row>
    <row r="24" ht="15" customHeight="1" s="64">
      <c r="B24" s="80" t="inlineStr">
        <is>
          <t>Main Area — Lunch Per Head (incl. wine)</t>
        </is>
      </c>
      <c r="C24" s="81" t="n">
        <v>200</v>
      </c>
      <c r="F24" s="80" t="inlineStr">
        <is>
          <t>Kitchen Staff 3</t>
        </is>
      </c>
      <c r="G24" s="81" t="n">
        <v>1</v>
      </c>
      <c r="H24" s="81" t="n">
        <v>18000</v>
      </c>
    </row>
    <row r="25" ht="15" customHeight="1" s="64">
      <c r="B25" s="80" t="inlineStr">
        <is>
          <t>Lunch Food % of Spend</t>
        </is>
      </c>
      <c r="C25" s="86" t="n">
        <v>0.9</v>
      </c>
      <c r="D25" s="82" t="inlineStr">
        <is>
          <t>Wine = 10%</t>
        </is>
      </c>
      <c r="F25" s="80" t="inlineStr">
        <is>
          <t>Dishwashing Staff</t>
        </is>
      </c>
      <c r="G25" s="81" t="n">
        <v>1</v>
      </c>
      <c r="H25" s="81" t="n">
        <v>16000</v>
      </c>
    </row>
    <row r="26" ht="15" customHeight="1" s="64">
      <c r="B26" s="80" t="inlineStr">
        <is>
          <t>Service Charge Rate</t>
        </is>
      </c>
      <c r="C26" s="86" t="n">
        <v>0.1</v>
      </c>
      <c r="F26" s="89" t="inlineStr">
        <is>
          <t>Total Headcount</t>
        </is>
      </c>
      <c r="G26" s="90">
        <f>SUM(G6:G19)</f>
        <v/>
      </c>
      <c r="H26" s="91" t="n"/>
    </row>
    <row r="27" ht="15" customHeight="1" s="64">
      <c r="F27" s="70" t="inlineStr">
        <is>
          <t>Total Monthly Salary</t>
        </is>
      </c>
      <c r="H27" s="87">
        <f>G6*H6+G7*H7+G8*H8+G9*H9+G10*H10+G11*H11+G12*H12+G13*H13+G14*H14+G15*H15+G16*H16+G17*H17+G18*H18+G19*H19</f>
        <v/>
      </c>
    </row>
    <row r="28" ht="15" customHeight="1" s="64">
      <c r="B28" s="78" t="inlineStr">
        <is>
          <t>OCCUPANCY RAMP-UP (% of capacity)</t>
        </is>
      </c>
      <c r="C28" s="79" t="n"/>
      <c r="D28" s="79" t="n"/>
      <c r="F28" s="80" t="inlineStr">
        <is>
          <t>MPF Employer Contribution %</t>
        </is>
      </c>
      <c r="H28" s="86" t="n">
        <v>0.05</v>
      </c>
      <c r="I28" s="82" t="inlineStr">
        <is>
          <t>Capped at $1,500/employee</t>
        </is>
      </c>
    </row>
    <row r="29" ht="15" customHeight="1" s="64">
      <c r="B29" s="80" t="inlineStr">
        <is>
          <t>Months 1-3 (Soft Opening)</t>
        </is>
      </c>
      <c r="C29" s="86" t="n">
        <v>0.35</v>
      </c>
      <c r="D29" s="82" t="inlineStr">
        <is>
          <t>Ramp-up period</t>
        </is>
      </c>
      <c r="F29" s="70" t="inlineStr">
        <is>
          <t>Total Monthly Staff Cost (incl. MPF)</t>
        </is>
      </c>
      <c r="H29" s="87">
        <f>H21*(1+H22)</f>
        <v/>
      </c>
    </row>
    <row r="30" ht="15" customHeight="1" s="64">
      <c r="B30" s="80" t="inlineStr">
        <is>
          <t>Months 4-6</t>
        </is>
      </c>
      <c r="C30" s="86" t="n">
        <v>0.5</v>
      </c>
    </row>
    <row r="31" ht="15" customHeight="1" s="64">
      <c r="B31" s="80" t="inlineStr">
        <is>
          <t>Months 7-9</t>
        </is>
      </c>
      <c r="C31" s="86" t="n">
        <v>0.6</v>
      </c>
      <c r="F31" s="78" t="inlineStr">
        <is>
          <t>RENT &amp; FIXED COSTS (Monthly HKD)</t>
        </is>
      </c>
      <c r="G31" s="79" t="n"/>
      <c r="H31" s="79" t="n"/>
    </row>
    <row r="32" ht="15" customHeight="1" s="64">
      <c r="B32" s="80" t="inlineStr">
        <is>
          <t>Months 10-12</t>
        </is>
      </c>
      <c r="C32" s="86" t="n">
        <v>0.7</v>
      </c>
      <c r="F32" s="80" t="inlineStr">
        <is>
          <t>Base Rent (Fixed)</t>
        </is>
      </c>
      <c r="H32" s="81" t="n">
        <v>140000</v>
      </c>
      <c r="I32" s="82" t="inlineStr">
        <is>
          <t>Monthly</t>
        </is>
      </c>
    </row>
    <row r="33" ht="15" customHeight="1" s="64">
      <c r="B33" s="80" t="inlineStr">
        <is>
          <t>Year 2 Average</t>
        </is>
      </c>
      <c r="C33" s="86" t="n">
        <v>0.75</v>
      </c>
      <c r="D33" s="82" t="inlineStr">
        <is>
          <t>Mature operations</t>
        </is>
      </c>
      <c r="F33" s="80" t="inlineStr">
        <is>
          <t>Variable Rent (% of Revenue)</t>
        </is>
      </c>
      <c r="H33" s="86" t="n">
        <v>0</v>
      </c>
      <c r="I33" s="82" t="inlineStr">
        <is>
          <t>Turnover rent above base</t>
        </is>
      </c>
    </row>
    <row r="34" ht="15" customHeight="1" s="64">
      <c r="B34" s="80" t="inlineStr">
        <is>
          <t>Year 3 Average</t>
        </is>
      </c>
      <c r="C34" s="86" t="n">
        <v>0.8</v>
      </c>
      <c r="F34" s="80" t="inlineStr">
        <is>
          <t>Building Management Fee</t>
        </is>
      </c>
      <c r="H34" s="81" t="n">
        <v>22000</v>
      </c>
    </row>
    <row r="35" ht="15" customHeight="1" s="64">
      <c r="B35" s="80" t="inlineStr">
        <is>
          <t>VIP Room Occupancy Discount</t>
        </is>
      </c>
      <c r="C35" s="86" t="n">
        <v>0.7</v>
      </c>
      <c r="D35" s="82" t="inlineStr">
        <is>
          <t>VIP rooms fill at 70% of main area rate</t>
        </is>
      </c>
      <c r="F35" s="80" t="inlineStr">
        <is>
          <t>Electricity / Water / Gas</t>
        </is>
      </c>
      <c r="H35" s="81" t="n">
        <v>18000</v>
      </c>
    </row>
    <row r="36" ht="15" customHeight="1" s="64">
      <c r="F36" s="80" t="inlineStr">
        <is>
          <t>Insurance</t>
        </is>
      </c>
      <c r="H36" s="81" t="n">
        <v>3000</v>
      </c>
    </row>
    <row r="37" ht="15" customHeight="1" s="64">
      <c r="B37" s="78" t="inlineStr">
        <is>
          <t>DISCOUNT &amp; PRICING</t>
        </is>
      </c>
      <c r="C37" s="79" t="n"/>
      <c r="D37" s="79" t="n"/>
      <c r="F37" s="80" t="inlineStr">
        <is>
          <t>Rates</t>
        </is>
      </c>
      <c r="H37" s="81" t="n">
        <v>4000</v>
      </c>
    </row>
    <row r="38" ht="15" customHeight="1" s="64">
      <c r="B38" s="80" t="inlineStr">
        <is>
          <t>Shareholder Revenue %</t>
        </is>
      </c>
      <c r="C38" s="86" t="n">
        <v>0.1</v>
      </c>
      <c r="D38" s="82" t="inlineStr">
        <is>
          <t>% of gross revenue from shareholders</t>
        </is>
      </c>
      <c r="F38" s="80" t="inlineStr">
        <is>
          <t>Cleaning</t>
        </is>
      </c>
      <c r="H38" s="81" t="n">
        <v>12000</v>
      </c>
    </row>
    <row r="39" ht="15" customHeight="1" s="64">
      <c r="B39" s="80" t="inlineStr">
        <is>
          <t>Shareholder Discount Rate</t>
        </is>
      </c>
      <c r="C39" s="86" t="n">
        <v>0.2</v>
      </c>
      <c r="F39" s="80" t="inlineStr">
        <is>
          <t>Credit Card Processing Fee %</t>
        </is>
      </c>
      <c r="H39" s="86" t="n">
        <v>0.02</v>
      </c>
      <c r="I39" s="82" t="inlineStr">
        <is>
          <t>% of total revenue</t>
        </is>
      </c>
    </row>
    <row r="40" ht="15" customHeight="1" s="64">
      <c r="B40" s="80" t="inlineStr">
        <is>
          <t>Friends/Special Guest Revenue %</t>
        </is>
      </c>
      <c r="C40" s="86" t="n">
        <v>0.1</v>
      </c>
      <c r="F40" s="80" t="inlineStr">
        <is>
          <t>Marketing / PR (Monthly)</t>
        </is>
      </c>
      <c r="H40" s="81" t="n">
        <v>15000</v>
      </c>
    </row>
    <row r="41" ht="15" customHeight="1" s="64">
      <c r="B41" s="80" t="inlineStr">
        <is>
          <t>Friends/Special Guest Discount</t>
        </is>
      </c>
      <c r="C41" s="86" t="n">
        <v>0.1</v>
      </c>
      <c r="F41" s="80" t="inlineStr">
        <is>
          <t>Consulting &amp; Accounting</t>
        </is>
      </c>
      <c r="H41" s="81" t="n">
        <v>36000</v>
      </c>
    </row>
    <row r="42" ht="15" customHeight="1" s="64">
      <c r="B42" s="80" t="inlineStr">
        <is>
          <t>Blended Discount Rate</t>
        </is>
      </c>
      <c r="C42" s="92">
        <f>C38*C39+C40*C41</f>
        <v/>
      </c>
      <c r="D42" s="82" t="inlineStr">
        <is>
          <t>Weighted average discount</t>
        </is>
      </c>
      <c r="F42" s="80" t="inlineStr">
        <is>
          <t>Restaurant Supplies</t>
        </is>
      </c>
      <c r="H42" s="81" t="n">
        <v>8000</v>
      </c>
    </row>
    <row r="43" ht="15" customHeight="1" s="64">
      <c r="F43" s="80" t="inlineStr">
        <is>
          <t>Subscriptions &amp; Telecom</t>
        </is>
      </c>
      <c r="H43" s="81" t="n">
        <v>3000</v>
      </c>
    </row>
    <row r="44" ht="15" customHeight="1" s="64">
      <c r="B44" s="78" t="inlineStr">
        <is>
          <t>COST OF GOODS SOLD</t>
        </is>
      </c>
      <c r="C44" s="79" t="n"/>
      <c r="D44" s="79" t="n"/>
      <c r="F44" s="80" t="inlineStr">
        <is>
          <t>Other / Miscellaneous</t>
        </is>
      </c>
      <c r="H44" s="81" t="n">
        <v>5000</v>
      </c>
    </row>
    <row r="45" ht="15" customHeight="1" s="64">
      <c r="B45" s="80" t="inlineStr">
        <is>
          <t>Food Cost %</t>
        </is>
      </c>
      <c r="C45" s="86" t="n">
        <v>0.3</v>
      </c>
      <c r="D45" s="82" t="inlineStr">
        <is>
          <t>% of net food revenue</t>
        </is>
      </c>
      <c r="F45" s="80" t="inlineStr">
        <is>
          <t>Garbage / Disposal</t>
        </is>
      </c>
      <c r="H45" s="81" t="n">
        <v>3000</v>
      </c>
    </row>
    <row r="46" ht="15" customHeight="1" s="64">
      <c r="B46" s="80" t="inlineStr">
        <is>
          <t>Wine / Beverage Cost %</t>
        </is>
      </c>
      <c r="C46" s="86" t="n">
        <v>0.5</v>
      </c>
      <c r="D46" s="82" t="inlineStr">
        <is>
          <t>% of net wine revenue</t>
        </is>
      </c>
      <c r="F46" s="80" t="inlineStr">
        <is>
          <t>Repairs &amp; Maintenance</t>
        </is>
      </c>
      <c r="H46" s="81" t="n">
        <v>5000</v>
      </c>
    </row>
    <row r="47" ht="15" customHeight="1" s="64">
      <c r="F47" s="80" t="inlineStr">
        <is>
          <t>Staff Welfare &amp; Benefits</t>
        </is>
      </c>
      <c r="H47" s="81" t="n">
        <v>8000</v>
      </c>
    </row>
    <row r="48"/>
    <row r="49" ht="15" customHeight="1" s="64">
      <c r="F49" s="78" t="inlineStr">
        <is>
          <t>GROWTH &amp; INFLATION</t>
        </is>
      </c>
      <c r="G49" s="79" t="n"/>
      <c r="H49" s="79" t="n"/>
    </row>
    <row r="50" ht="15" customHeight="1" s="64">
      <c r="F50" s="80" t="inlineStr">
        <is>
          <t>Annual Menu Price Increase</t>
        </is>
      </c>
      <c r="H50" s="86" t="n">
        <v>0.03</v>
      </c>
      <c r="I50" s="82" t="inlineStr">
        <is>
          <t>Applied from Year 2</t>
        </is>
      </c>
    </row>
    <row r="51" ht="15" customHeight="1" s="64">
      <c r="F51" s="80" t="inlineStr">
        <is>
          <t>Annual Salary Increase</t>
        </is>
      </c>
      <c r="H51" s="86" t="n">
        <v>0.03</v>
      </c>
    </row>
    <row r="52" ht="15" customHeight="1" s="64">
      <c r="F52" s="80" t="inlineStr">
        <is>
          <t>Annual OpEx Inflation</t>
        </is>
      </c>
      <c r="H52" s="86" t="n">
        <v>0.025</v>
      </c>
    </row>
    <row r="53" ht="15" customHeight="1" s="64">
      <c r="F53" s="80" t="inlineStr">
        <is>
          <t>Management Incentive Fee %</t>
        </is>
      </c>
      <c r="H53" s="86" t="n">
        <v>0.12</v>
      </c>
      <c r="I53" s="82" t="inlineStr">
        <is>
          <t>% of EBITDA, same as Aroma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AO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38" customWidth="1" style="63" min="2" max="2"/>
    <col width="13" customWidth="1" style="63" min="3" max="49"/>
  </cols>
  <sheetData>
    <row r="1" ht="17.25" customHeight="1" s="64">
      <c r="B1" s="76" t="inlineStr">
        <is>
          <t>REVENUE BUILD</t>
        </is>
      </c>
    </row>
    <row r="2"/>
    <row r="3" ht="15" customHeight="1" s="64">
      <c r="B3" s="93" t="n"/>
      <c r="C3" s="94" t="inlineStr">
        <is>
          <t>M1</t>
        </is>
      </c>
      <c r="D3" s="94" t="inlineStr">
        <is>
          <t>M2</t>
        </is>
      </c>
      <c r="E3" s="94" t="inlineStr">
        <is>
          <t>M3</t>
        </is>
      </c>
      <c r="F3" s="94" t="inlineStr">
        <is>
          <t>M4</t>
        </is>
      </c>
      <c r="G3" s="94" t="inlineStr">
        <is>
          <t>M5</t>
        </is>
      </c>
      <c r="H3" s="94" t="inlineStr">
        <is>
          <t>M6</t>
        </is>
      </c>
      <c r="I3" s="94" t="inlineStr">
        <is>
          <t>M7</t>
        </is>
      </c>
      <c r="J3" s="94" t="inlineStr">
        <is>
          <t>M8</t>
        </is>
      </c>
      <c r="K3" s="94" t="inlineStr">
        <is>
          <t>M9</t>
        </is>
      </c>
      <c r="L3" s="94" t="inlineStr">
        <is>
          <t>M10</t>
        </is>
      </c>
      <c r="M3" s="94" t="inlineStr">
        <is>
          <t>M11</t>
        </is>
      </c>
      <c r="N3" s="94" t="inlineStr">
        <is>
          <t>M12</t>
        </is>
      </c>
      <c r="O3" s="94" t="inlineStr">
        <is>
          <t>Year 1</t>
        </is>
      </c>
      <c r="P3" s="94" t="inlineStr">
        <is>
          <t>M13</t>
        </is>
      </c>
      <c r="Q3" s="94" t="inlineStr">
        <is>
          <t>M14</t>
        </is>
      </c>
      <c r="R3" s="94" t="inlineStr">
        <is>
          <t>M15</t>
        </is>
      </c>
      <c r="S3" s="94" t="inlineStr">
        <is>
          <t>M16</t>
        </is>
      </c>
      <c r="T3" s="94" t="inlineStr">
        <is>
          <t>M17</t>
        </is>
      </c>
      <c r="U3" s="94" t="inlineStr">
        <is>
          <t>M18</t>
        </is>
      </c>
      <c r="V3" s="94" t="inlineStr">
        <is>
          <t>M19</t>
        </is>
      </c>
      <c r="W3" s="94" t="inlineStr">
        <is>
          <t>M20</t>
        </is>
      </c>
      <c r="X3" s="94" t="inlineStr">
        <is>
          <t>M21</t>
        </is>
      </c>
      <c r="Y3" s="94" t="inlineStr">
        <is>
          <t>M22</t>
        </is>
      </c>
      <c r="Z3" s="94" t="inlineStr">
        <is>
          <t>M23</t>
        </is>
      </c>
      <c r="AA3" s="94" t="inlineStr">
        <is>
          <t>M24</t>
        </is>
      </c>
      <c r="AB3" s="94" t="inlineStr">
        <is>
          <t>Year 2</t>
        </is>
      </c>
      <c r="AC3" s="94" t="inlineStr">
        <is>
          <t>M25</t>
        </is>
      </c>
      <c r="AD3" s="94" t="inlineStr">
        <is>
          <t>M26</t>
        </is>
      </c>
      <c r="AE3" s="94" t="inlineStr">
        <is>
          <t>M27</t>
        </is>
      </c>
      <c r="AF3" s="94" t="inlineStr">
        <is>
          <t>M28</t>
        </is>
      </c>
      <c r="AG3" s="94" t="inlineStr">
        <is>
          <t>M29</t>
        </is>
      </c>
      <c r="AH3" s="94" t="inlineStr">
        <is>
          <t>M30</t>
        </is>
      </c>
      <c r="AI3" s="94" t="inlineStr">
        <is>
          <t>M31</t>
        </is>
      </c>
      <c r="AJ3" s="94" t="inlineStr">
        <is>
          <t>M32</t>
        </is>
      </c>
      <c r="AK3" s="94" t="inlineStr">
        <is>
          <t>M33</t>
        </is>
      </c>
      <c r="AL3" s="94" t="inlineStr">
        <is>
          <t>M34</t>
        </is>
      </c>
      <c r="AM3" s="94" t="inlineStr">
        <is>
          <t>M35</t>
        </is>
      </c>
      <c r="AN3" s="94" t="inlineStr">
        <is>
          <t>M36</t>
        </is>
      </c>
      <c r="AO3" s="94" t="inlineStr">
        <is>
          <t>Year 3</t>
        </is>
      </c>
    </row>
    <row r="4" ht="15" customHeight="1" s="64">
      <c r="B4" s="80" t="inlineStr">
        <is>
          <t>Operating Days</t>
        </is>
      </c>
      <c r="C4" s="95" t="n">
        <v>30</v>
      </c>
      <c r="D4" s="95" t="n">
        <v>30</v>
      </c>
      <c r="E4" s="95" t="n">
        <v>30</v>
      </c>
      <c r="F4" s="95" t="n">
        <v>30</v>
      </c>
      <c r="G4" s="95" t="n">
        <v>30</v>
      </c>
      <c r="H4" s="95" t="n">
        <v>30</v>
      </c>
      <c r="I4" s="95" t="n">
        <v>30</v>
      </c>
      <c r="J4" s="95" t="n">
        <v>30</v>
      </c>
      <c r="K4" s="95" t="n">
        <v>30</v>
      </c>
      <c r="L4" s="95" t="n">
        <v>30</v>
      </c>
      <c r="M4" s="95" t="n">
        <v>30</v>
      </c>
      <c r="N4" s="95" t="n">
        <v>30</v>
      </c>
      <c r="O4" s="87">
        <f>SUM(C4:N4)</f>
        <v/>
      </c>
      <c r="P4" s="95" t="n">
        <v>30</v>
      </c>
      <c r="Q4" s="95" t="n">
        <v>30</v>
      </c>
      <c r="R4" s="95" t="n">
        <v>30</v>
      </c>
      <c r="S4" s="95" t="n">
        <v>30</v>
      </c>
      <c r="T4" s="95" t="n">
        <v>30</v>
      </c>
      <c r="U4" s="95" t="n">
        <v>30</v>
      </c>
      <c r="V4" s="95" t="n">
        <v>30</v>
      </c>
      <c r="W4" s="95" t="n">
        <v>30</v>
      </c>
      <c r="X4" s="95" t="n">
        <v>30</v>
      </c>
      <c r="Y4" s="95" t="n">
        <v>30</v>
      </c>
      <c r="Z4" s="95" t="n">
        <v>30</v>
      </c>
      <c r="AA4" s="95" t="n">
        <v>30</v>
      </c>
      <c r="AB4" s="87">
        <f>SUM(P4:AA4)</f>
        <v/>
      </c>
      <c r="AC4" s="95" t="n">
        <v>30</v>
      </c>
      <c r="AD4" s="95" t="n">
        <v>30</v>
      </c>
      <c r="AE4" s="95" t="n">
        <v>30</v>
      </c>
      <c r="AF4" s="95" t="n">
        <v>30</v>
      </c>
      <c r="AG4" s="95" t="n">
        <v>30</v>
      </c>
      <c r="AH4" s="95" t="n">
        <v>30</v>
      </c>
      <c r="AI4" s="95" t="n">
        <v>30</v>
      </c>
      <c r="AJ4" s="95" t="n">
        <v>30</v>
      </c>
      <c r="AK4" s="95" t="n">
        <v>30</v>
      </c>
      <c r="AL4" s="95" t="n">
        <v>30</v>
      </c>
      <c r="AM4" s="95" t="n">
        <v>30</v>
      </c>
      <c r="AN4" s="95" t="n">
        <v>30</v>
      </c>
      <c r="AO4" s="87">
        <f>SUM(AC4:AN4)</f>
        <v/>
      </c>
    </row>
    <row r="5" ht="15" customHeight="1" s="64">
      <c r="B5" s="80" t="inlineStr">
        <is>
          <t>Main Area Occupancy Rate</t>
        </is>
      </c>
      <c r="C5" s="96">
        <f>Assumptions!C29</f>
        <v/>
      </c>
      <c r="D5" s="96">
        <f>Assumptions!C29</f>
        <v/>
      </c>
      <c r="E5" s="96">
        <f>Assumptions!C29</f>
        <v/>
      </c>
      <c r="F5" s="96">
        <f>Assumptions!C30</f>
        <v/>
      </c>
      <c r="G5" s="96">
        <f>Assumptions!C30</f>
        <v/>
      </c>
      <c r="H5" s="96">
        <f>Assumptions!C30</f>
        <v/>
      </c>
      <c r="I5" s="96">
        <f>Assumptions!C31</f>
        <v/>
      </c>
      <c r="J5" s="96">
        <f>Assumptions!C31</f>
        <v/>
      </c>
      <c r="K5" s="96">
        <f>Assumptions!C31</f>
        <v/>
      </c>
      <c r="L5" s="96">
        <f>Assumptions!C32</f>
        <v/>
      </c>
      <c r="M5" s="96">
        <f>Assumptions!C32</f>
        <v/>
      </c>
      <c r="N5" s="96">
        <f>Assumptions!C32</f>
        <v/>
      </c>
      <c r="O5" s="97">
        <f>AVERAGE(C5:N5)</f>
        <v/>
      </c>
      <c r="P5" s="96">
        <f>Assumptions!C33</f>
        <v/>
      </c>
      <c r="Q5" s="96">
        <f>Assumptions!C33</f>
        <v/>
      </c>
      <c r="R5" s="96">
        <f>Assumptions!C33</f>
        <v/>
      </c>
      <c r="S5" s="96">
        <f>Assumptions!C33</f>
        <v/>
      </c>
      <c r="T5" s="96">
        <f>Assumptions!C33</f>
        <v/>
      </c>
      <c r="U5" s="96">
        <f>Assumptions!C33</f>
        <v/>
      </c>
      <c r="V5" s="96">
        <f>Assumptions!C33</f>
        <v/>
      </c>
      <c r="W5" s="96">
        <f>Assumptions!C33</f>
        <v/>
      </c>
      <c r="X5" s="96">
        <f>Assumptions!C33</f>
        <v/>
      </c>
      <c r="Y5" s="96">
        <f>Assumptions!C33</f>
        <v/>
      </c>
      <c r="Z5" s="96">
        <f>Assumptions!C33</f>
        <v/>
      </c>
      <c r="AA5" s="96">
        <f>Assumptions!C33</f>
        <v/>
      </c>
      <c r="AB5" s="97">
        <f>AVERAGE(P5:AA5)</f>
        <v/>
      </c>
      <c r="AC5" s="96">
        <f>Assumptions!C34</f>
        <v/>
      </c>
      <c r="AD5" s="96">
        <f>Assumptions!C34</f>
        <v/>
      </c>
      <c r="AE5" s="96">
        <f>Assumptions!C34</f>
        <v/>
      </c>
      <c r="AF5" s="96">
        <f>Assumptions!C34</f>
        <v/>
      </c>
      <c r="AG5" s="96">
        <f>Assumptions!C34</f>
        <v/>
      </c>
      <c r="AH5" s="96">
        <f>Assumptions!C34</f>
        <v/>
      </c>
      <c r="AI5" s="96">
        <f>Assumptions!C34</f>
        <v/>
      </c>
      <c r="AJ5" s="96">
        <f>Assumptions!C34</f>
        <v/>
      </c>
      <c r="AK5" s="96">
        <f>Assumptions!C34</f>
        <v/>
      </c>
      <c r="AL5" s="96">
        <f>Assumptions!C34</f>
        <v/>
      </c>
      <c r="AM5" s="96">
        <f>Assumptions!C34</f>
        <v/>
      </c>
      <c r="AN5" s="96">
        <f>Assumptions!C34</f>
        <v/>
      </c>
      <c r="AO5" s="97">
        <f>AVERAGE(AC5:AN5)</f>
        <v/>
      </c>
    </row>
    <row r="6" ht="15" customHeight="1" s="64">
      <c r="B6" s="80" t="inlineStr">
        <is>
          <t>VIP Room Occupancy Rate</t>
        </is>
      </c>
      <c r="C6" s="96">
        <f>C5*Assumptions!C35</f>
        <v/>
      </c>
      <c r="D6" s="96">
        <f>D5*Assumptions!C35</f>
        <v/>
      </c>
      <c r="E6" s="96">
        <f>E5*Assumptions!C35</f>
        <v/>
      </c>
      <c r="F6" s="96">
        <f>F5*Assumptions!C35</f>
        <v/>
      </c>
      <c r="G6" s="96">
        <f>G5*Assumptions!C35</f>
        <v/>
      </c>
      <c r="H6" s="96">
        <f>H5*Assumptions!C35</f>
        <v/>
      </c>
      <c r="I6" s="96">
        <f>I5*Assumptions!C35</f>
        <v/>
      </c>
      <c r="J6" s="96">
        <f>J5*Assumptions!C35</f>
        <v/>
      </c>
      <c r="K6" s="96">
        <f>K5*Assumptions!C35</f>
        <v/>
      </c>
      <c r="L6" s="96">
        <f>L5*Assumptions!C35</f>
        <v/>
      </c>
      <c r="M6" s="96">
        <f>M5*Assumptions!C35</f>
        <v/>
      </c>
      <c r="N6" s="96">
        <f>N5*Assumptions!C35</f>
        <v/>
      </c>
      <c r="O6" s="97">
        <f>AVERAGE(C6:N6)</f>
        <v/>
      </c>
      <c r="P6" s="96">
        <f>P5*Assumptions!C35</f>
        <v/>
      </c>
      <c r="Q6" s="96">
        <f>Q5*Assumptions!C35</f>
        <v/>
      </c>
      <c r="R6" s="96">
        <f>R5*Assumptions!C35</f>
        <v/>
      </c>
      <c r="S6" s="96">
        <f>S5*Assumptions!C35</f>
        <v/>
      </c>
      <c r="T6" s="96">
        <f>T5*Assumptions!C35</f>
        <v/>
      </c>
      <c r="U6" s="96">
        <f>U5*Assumptions!C35</f>
        <v/>
      </c>
      <c r="V6" s="96">
        <f>V5*Assumptions!C35</f>
        <v/>
      </c>
      <c r="W6" s="96">
        <f>W5*Assumptions!C35</f>
        <v/>
      </c>
      <c r="X6" s="96">
        <f>X5*Assumptions!C35</f>
        <v/>
      </c>
      <c r="Y6" s="96">
        <f>Y5*Assumptions!C35</f>
        <v/>
      </c>
      <c r="Z6" s="96">
        <f>Z5*Assumptions!C35</f>
        <v/>
      </c>
      <c r="AA6" s="96">
        <f>AA5*Assumptions!C35</f>
        <v/>
      </c>
      <c r="AB6" s="97">
        <f>AVERAGE(P6:AA6)</f>
        <v/>
      </c>
      <c r="AC6" s="96">
        <f>AC5*Assumptions!C35</f>
        <v/>
      </c>
      <c r="AD6" s="96">
        <f>AD5*Assumptions!C35</f>
        <v/>
      </c>
      <c r="AE6" s="96">
        <f>AE5*Assumptions!C35</f>
        <v/>
      </c>
      <c r="AF6" s="96">
        <f>AF5*Assumptions!C35</f>
        <v/>
      </c>
      <c r="AG6" s="96">
        <f>AG5*Assumptions!C35</f>
        <v/>
      </c>
      <c r="AH6" s="96">
        <f>AH5*Assumptions!C35</f>
        <v/>
      </c>
      <c r="AI6" s="96">
        <f>AI5*Assumptions!C35</f>
        <v/>
      </c>
      <c r="AJ6" s="96">
        <f>AJ5*Assumptions!C35</f>
        <v/>
      </c>
      <c r="AK6" s="96">
        <f>AK5*Assumptions!C35</f>
        <v/>
      </c>
      <c r="AL6" s="96">
        <f>AL5*Assumptions!C35</f>
        <v/>
      </c>
      <c r="AM6" s="96">
        <f>AM5*Assumptions!C35</f>
        <v/>
      </c>
      <c r="AN6" s="96">
        <f>AN5*Assumptions!C35</f>
        <v/>
      </c>
      <c r="AO6" s="97">
        <f>AVERAGE(AC6:AN6)</f>
        <v/>
      </c>
    </row>
    <row r="7" ht="15" customHeight="1" s="64">
      <c r="B7" s="80" t="inlineStr">
        <is>
          <t>Menu Price Multiplier</t>
        </is>
      </c>
      <c r="C7" s="98" t="n">
        <v>1</v>
      </c>
      <c r="D7" s="98" t="n">
        <v>1</v>
      </c>
      <c r="E7" s="98" t="n">
        <v>1</v>
      </c>
      <c r="F7" s="98" t="n">
        <v>1</v>
      </c>
      <c r="G7" s="98" t="n">
        <v>1</v>
      </c>
      <c r="H7" s="98" t="n">
        <v>1</v>
      </c>
      <c r="I7" s="98" t="n">
        <v>1</v>
      </c>
      <c r="J7" s="98" t="n">
        <v>1</v>
      </c>
      <c r="K7" s="98" t="n">
        <v>1</v>
      </c>
      <c r="L7" s="98" t="n">
        <v>1</v>
      </c>
      <c r="M7" s="98" t="n">
        <v>1</v>
      </c>
      <c r="N7" s="98" t="n">
        <v>1</v>
      </c>
      <c r="O7" s="99">
        <f>AVERAGE(C7:N7)</f>
        <v/>
      </c>
      <c r="P7" s="100">
        <f>1+Assumptions!H50</f>
        <v/>
      </c>
      <c r="Q7" s="100">
        <f>1+Assumptions!H50</f>
        <v/>
      </c>
      <c r="R7" s="100">
        <f>1+Assumptions!H50</f>
        <v/>
      </c>
      <c r="S7" s="100">
        <f>1+Assumptions!H50</f>
        <v/>
      </c>
      <c r="T7" s="100">
        <f>1+Assumptions!H50</f>
        <v/>
      </c>
      <c r="U7" s="100">
        <f>1+Assumptions!H50</f>
        <v/>
      </c>
      <c r="V7" s="100">
        <f>1+Assumptions!H50</f>
        <v/>
      </c>
      <c r="W7" s="100">
        <f>1+Assumptions!H50</f>
        <v/>
      </c>
      <c r="X7" s="100">
        <f>1+Assumptions!H50</f>
        <v/>
      </c>
      <c r="Y7" s="100">
        <f>1+Assumptions!H50</f>
        <v/>
      </c>
      <c r="Z7" s="100">
        <f>1+Assumptions!H50</f>
        <v/>
      </c>
      <c r="AA7" s="100">
        <f>1+Assumptions!H50</f>
        <v/>
      </c>
      <c r="AB7" s="99">
        <f>AVERAGE(P7:AA7)</f>
        <v/>
      </c>
      <c r="AC7" s="100">
        <f>(1+Assumptions!H50)^2</f>
        <v/>
      </c>
      <c r="AD7" s="100">
        <f>(1+Assumptions!H50)^2</f>
        <v/>
      </c>
      <c r="AE7" s="100">
        <f>(1+Assumptions!H50)^2</f>
        <v/>
      </c>
      <c r="AF7" s="100">
        <f>(1+Assumptions!H50)^2</f>
        <v/>
      </c>
      <c r="AG7" s="100">
        <f>(1+Assumptions!H50)^2</f>
        <v/>
      </c>
      <c r="AH7" s="100">
        <f>(1+Assumptions!H50)^2</f>
        <v/>
      </c>
      <c r="AI7" s="100">
        <f>(1+Assumptions!H50)^2</f>
        <v/>
      </c>
      <c r="AJ7" s="100">
        <f>(1+Assumptions!H50)^2</f>
        <v/>
      </c>
      <c r="AK7" s="100">
        <f>(1+Assumptions!H50)^2</f>
        <v/>
      </c>
      <c r="AL7" s="100">
        <f>(1+Assumptions!H50)^2</f>
        <v/>
      </c>
      <c r="AM7" s="100">
        <f>(1+Assumptions!H50)^2</f>
        <v/>
      </c>
      <c r="AN7" s="100">
        <f>(1+Assumptions!H50)^2</f>
        <v/>
      </c>
      <c r="AO7" s="99">
        <f>AVERAGE(AC7:AN7)</f>
        <v/>
      </c>
    </row>
    <row r="8"/>
    <row r="9" ht="15" customHeight="1" s="64">
      <c r="B9" s="78" t="inlineStr">
        <is>
          <t>DINNER REVENUE</t>
        </is>
      </c>
    </row>
    <row r="10" ht="15" customHeight="1" s="64">
      <c r="B10" s="80" t="inlineStr">
        <is>
          <t xml:space="preserve">  VIP Room 1 (6 pax) — Dinner</t>
        </is>
      </c>
      <c r="C10" s="101">
        <f>Assumptions!C5*Assumptions!C18*C4*C6*C7</f>
        <v/>
      </c>
      <c r="D10" s="101">
        <f>Assumptions!C5*Assumptions!C18*D4*D6*D7</f>
        <v/>
      </c>
      <c r="E10" s="101">
        <f>Assumptions!C5*Assumptions!C18*E4*E6*E7</f>
        <v/>
      </c>
      <c r="F10" s="101">
        <f>Assumptions!C5*Assumptions!C18*F4*F6*F7</f>
        <v/>
      </c>
      <c r="G10" s="101">
        <f>Assumptions!C5*Assumptions!C18*G4*G6*G7</f>
        <v/>
      </c>
      <c r="H10" s="101">
        <f>Assumptions!C5*Assumptions!C18*H4*H6*H7</f>
        <v/>
      </c>
      <c r="I10" s="101">
        <f>Assumptions!C5*Assumptions!C18*I4*I6*I7</f>
        <v/>
      </c>
      <c r="J10" s="101">
        <f>Assumptions!C5*Assumptions!C18*J4*J6*J7</f>
        <v/>
      </c>
      <c r="K10" s="101">
        <f>Assumptions!C5*Assumptions!C18*K4*K6*K7</f>
        <v/>
      </c>
      <c r="L10" s="101">
        <f>Assumptions!C5*Assumptions!C18*L4*L6*L7</f>
        <v/>
      </c>
      <c r="M10" s="101">
        <f>Assumptions!C5*Assumptions!C18*M4*M6*M7</f>
        <v/>
      </c>
      <c r="N10" s="101">
        <f>Assumptions!C5*Assumptions!C18*N4*N6*N7</f>
        <v/>
      </c>
      <c r="O10" s="102">
        <f>SUM(C10:N10)</f>
        <v/>
      </c>
      <c r="P10" s="101">
        <f>Assumptions!C5*Assumptions!C18*P4*P6*P7</f>
        <v/>
      </c>
      <c r="Q10" s="101">
        <f>Assumptions!C5*Assumptions!C18*Q4*Q6*Q7</f>
        <v/>
      </c>
      <c r="R10" s="101">
        <f>Assumptions!C5*Assumptions!C18*R4*R6*R7</f>
        <v/>
      </c>
      <c r="S10" s="101">
        <f>Assumptions!C5*Assumptions!C18*S4*S6*S7</f>
        <v/>
      </c>
      <c r="T10" s="101">
        <f>Assumptions!C5*Assumptions!C18*T4*T6*T7</f>
        <v/>
      </c>
      <c r="U10" s="101">
        <f>Assumptions!C5*Assumptions!C18*U4*U6*U7</f>
        <v/>
      </c>
      <c r="V10" s="101">
        <f>Assumptions!C5*Assumptions!C18*V4*V6*V7</f>
        <v/>
      </c>
      <c r="W10" s="101">
        <f>Assumptions!C5*Assumptions!C18*W4*W6*W7</f>
        <v/>
      </c>
      <c r="X10" s="101">
        <f>Assumptions!C5*Assumptions!C18*X4*X6*X7</f>
        <v/>
      </c>
      <c r="Y10" s="101">
        <f>Assumptions!C5*Assumptions!C18*Y4*Y6*Y7</f>
        <v/>
      </c>
      <c r="Z10" s="101">
        <f>Assumptions!C5*Assumptions!C18*Z4*Z6*Z7</f>
        <v/>
      </c>
      <c r="AA10" s="101">
        <f>Assumptions!C5*Assumptions!C18*AA4*AA6*AA7</f>
        <v/>
      </c>
      <c r="AB10" s="102">
        <f>SUM(P10:AA10)</f>
        <v/>
      </c>
      <c r="AC10" s="101">
        <f>Assumptions!C5*Assumptions!C18*AC4*AC6*AC7</f>
        <v/>
      </c>
      <c r="AD10" s="101">
        <f>Assumptions!C5*Assumptions!C18*AD4*AD6*AD7</f>
        <v/>
      </c>
      <c r="AE10" s="101">
        <f>Assumptions!C5*Assumptions!C18*AE4*AE6*AE7</f>
        <v/>
      </c>
      <c r="AF10" s="101">
        <f>Assumptions!C5*Assumptions!C18*AF4*AF6*AF7</f>
        <v/>
      </c>
      <c r="AG10" s="101">
        <f>Assumptions!C5*Assumptions!C18*AG4*AG6*AG7</f>
        <v/>
      </c>
      <c r="AH10" s="101">
        <f>Assumptions!C5*Assumptions!C18*AH4*AH6*AH7</f>
        <v/>
      </c>
      <c r="AI10" s="101">
        <f>Assumptions!C5*Assumptions!C18*AI4*AI6*AI7</f>
        <v/>
      </c>
      <c r="AJ10" s="101">
        <f>Assumptions!C5*Assumptions!C18*AJ4*AJ6*AJ7</f>
        <v/>
      </c>
      <c r="AK10" s="101">
        <f>Assumptions!C5*Assumptions!C18*AK4*AK6*AK7</f>
        <v/>
      </c>
      <c r="AL10" s="101">
        <f>Assumptions!C5*Assumptions!C18*AL4*AL6*AL7</f>
        <v/>
      </c>
      <c r="AM10" s="101">
        <f>Assumptions!C5*Assumptions!C18*AM4*AM6*AM7</f>
        <v/>
      </c>
      <c r="AN10" s="101">
        <f>Assumptions!C5*Assumptions!C18*AN4*AN6*AN7</f>
        <v/>
      </c>
      <c r="AO10" s="102">
        <f>SUM(AC10:AN10)</f>
        <v/>
      </c>
    </row>
    <row r="11" ht="15" customHeight="1" s="64">
      <c r="B11" s="80" t="inlineStr">
        <is>
          <t xml:space="preserve">  VIP Room 2 (12 pax) — Dinner</t>
        </is>
      </c>
      <c r="C11" s="101">
        <f>Assumptions!C6*Assumptions!C18*C4*C6*C7</f>
        <v/>
      </c>
      <c r="D11" s="101">
        <f>Assumptions!C6*Assumptions!C18*D4*D6*D7</f>
        <v/>
      </c>
      <c r="E11" s="101">
        <f>Assumptions!C6*Assumptions!C18*E4*E6*E7</f>
        <v/>
      </c>
      <c r="F11" s="101">
        <f>Assumptions!C6*Assumptions!C18*F4*F6*F7</f>
        <v/>
      </c>
      <c r="G11" s="101">
        <f>Assumptions!C6*Assumptions!C18*G4*G6*G7</f>
        <v/>
      </c>
      <c r="H11" s="101">
        <f>Assumptions!C6*Assumptions!C18*H4*H6*H7</f>
        <v/>
      </c>
      <c r="I11" s="101">
        <f>Assumptions!C6*Assumptions!C18*I4*I6*I7</f>
        <v/>
      </c>
      <c r="J11" s="101">
        <f>Assumptions!C6*Assumptions!C18*J4*J6*J7</f>
        <v/>
      </c>
      <c r="K11" s="101">
        <f>Assumptions!C6*Assumptions!C18*K4*K6*K7</f>
        <v/>
      </c>
      <c r="L11" s="101">
        <f>Assumptions!C6*Assumptions!C18*L4*L6*L7</f>
        <v/>
      </c>
      <c r="M11" s="101">
        <f>Assumptions!C6*Assumptions!C18*M4*M6*M7</f>
        <v/>
      </c>
      <c r="N11" s="101">
        <f>Assumptions!C6*Assumptions!C18*N4*N6*N7</f>
        <v/>
      </c>
      <c r="O11" s="102">
        <f>SUM(C11:N11)</f>
        <v/>
      </c>
      <c r="P11" s="101">
        <f>Assumptions!C6*Assumptions!C18*P4*P6*P7</f>
        <v/>
      </c>
      <c r="Q11" s="101">
        <f>Assumptions!C6*Assumptions!C18*Q4*Q6*Q7</f>
        <v/>
      </c>
      <c r="R11" s="101">
        <f>Assumptions!C6*Assumptions!C18*R4*R6*R7</f>
        <v/>
      </c>
      <c r="S11" s="101">
        <f>Assumptions!C6*Assumptions!C18*S4*S6*S7</f>
        <v/>
      </c>
      <c r="T11" s="101">
        <f>Assumptions!C6*Assumptions!C18*T4*T6*T7</f>
        <v/>
      </c>
      <c r="U11" s="101">
        <f>Assumptions!C6*Assumptions!C18*U4*U6*U7</f>
        <v/>
      </c>
      <c r="V11" s="101">
        <f>Assumptions!C6*Assumptions!C18*V4*V6*V7</f>
        <v/>
      </c>
      <c r="W11" s="101">
        <f>Assumptions!C6*Assumptions!C18*W4*W6*W7</f>
        <v/>
      </c>
      <c r="X11" s="101">
        <f>Assumptions!C6*Assumptions!C18*X4*X6*X7</f>
        <v/>
      </c>
      <c r="Y11" s="101">
        <f>Assumptions!C6*Assumptions!C18*Y4*Y6*Y7</f>
        <v/>
      </c>
      <c r="Z11" s="101">
        <f>Assumptions!C6*Assumptions!C18*Z4*Z6*Z7</f>
        <v/>
      </c>
      <c r="AA11" s="101">
        <f>Assumptions!C6*Assumptions!C18*AA4*AA6*AA7</f>
        <v/>
      </c>
      <c r="AB11" s="102">
        <f>SUM(P11:AA11)</f>
        <v/>
      </c>
      <c r="AC11" s="101">
        <f>Assumptions!C6*Assumptions!C18*AC4*AC6*AC7</f>
        <v/>
      </c>
      <c r="AD11" s="101">
        <f>Assumptions!C6*Assumptions!C18*AD4*AD6*AD7</f>
        <v/>
      </c>
      <c r="AE11" s="101">
        <f>Assumptions!C6*Assumptions!C18*AE4*AE6*AE7</f>
        <v/>
      </c>
      <c r="AF11" s="101">
        <f>Assumptions!C6*Assumptions!C18*AF4*AF6*AF7</f>
        <v/>
      </c>
      <c r="AG11" s="101">
        <f>Assumptions!C6*Assumptions!C18*AG4*AG6*AG7</f>
        <v/>
      </c>
      <c r="AH11" s="101">
        <f>Assumptions!C6*Assumptions!C18*AH4*AH6*AH7</f>
        <v/>
      </c>
      <c r="AI11" s="101">
        <f>Assumptions!C6*Assumptions!C18*AI4*AI6*AI7</f>
        <v/>
      </c>
      <c r="AJ11" s="101">
        <f>Assumptions!C6*Assumptions!C18*AJ4*AJ6*AJ7</f>
        <v/>
      </c>
      <c r="AK11" s="101">
        <f>Assumptions!C6*Assumptions!C18*AK4*AK6*AK7</f>
        <v/>
      </c>
      <c r="AL11" s="101">
        <f>Assumptions!C6*Assumptions!C18*AL4*AL6*AL7</f>
        <v/>
      </c>
      <c r="AM11" s="101">
        <f>Assumptions!C6*Assumptions!C18*AM4*AM6*AM7</f>
        <v/>
      </c>
      <c r="AN11" s="101">
        <f>Assumptions!C6*Assumptions!C18*AN4*AN6*AN7</f>
        <v/>
      </c>
      <c r="AO11" s="102">
        <f>SUM(AC11:AN11)</f>
        <v/>
      </c>
    </row>
    <row r="12" ht="15" customHeight="1" s="64">
      <c r="B12" s="80" t="inlineStr">
        <is>
          <t xml:space="preserve">  Main / Outdoor (30 pax) — Dinner</t>
        </is>
      </c>
      <c r="C12" s="101">
        <f>Assumptions!C7*Assumptions!C19*C4*C5*C7</f>
        <v/>
      </c>
      <c r="D12" s="101">
        <f>Assumptions!C7*Assumptions!C19*D4*D5*D7</f>
        <v/>
      </c>
      <c r="E12" s="101">
        <f>Assumptions!C7*Assumptions!C19*E4*E5*E7</f>
        <v/>
      </c>
      <c r="F12" s="101">
        <f>Assumptions!C7*Assumptions!C19*F4*F5*F7</f>
        <v/>
      </c>
      <c r="G12" s="101">
        <f>Assumptions!C7*Assumptions!C19*G4*G5*G7</f>
        <v/>
      </c>
      <c r="H12" s="101">
        <f>Assumptions!C7*Assumptions!C19*H4*H5*H7</f>
        <v/>
      </c>
      <c r="I12" s="101">
        <f>Assumptions!C7*Assumptions!C19*I4*I5*I7</f>
        <v/>
      </c>
      <c r="J12" s="101">
        <f>Assumptions!C7*Assumptions!C19*J4*J5*J7</f>
        <v/>
      </c>
      <c r="K12" s="101">
        <f>Assumptions!C7*Assumptions!C19*K4*K5*K7</f>
        <v/>
      </c>
      <c r="L12" s="101">
        <f>Assumptions!C7*Assumptions!C19*L4*L5*L7</f>
        <v/>
      </c>
      <c r="M12" s="101">
        <f>Assumptions!C7*Assumptions!C19*M4*M5*M7</f>
        <v/>
      </c>
      <c r="N12" s="101">
        <f>Assumptions!C7*Assumptions!C19*N4*N5*N7</f>
        <v/>
      </c>
      <c r="O12" s="102">
        <f>SUM(C12:N12)</f>
        <v/>
      </c>
      <c r="P12" s="101">
        <f>Assumptions!C7*Assumptions!C19*P4*P5*P7</f>
        <v/>
      </c>
      <c r="Q12" s="101">
        <f>Assumptions!C7*Assumptions!C19*Q4*Q5*Q7</f>
        <v/>
      </c>
      <c r="R12" s="101">
        <f>Assumptions!C7*Assumptions!C19*R4*R5*R7</f>
        <v/>
      </c>
      <c r="S12" s="101">
        <f>Assumptions!C7*Assumptions!C19*S4*S5*S7</f>
        <v/>
      </c>
      <c r="T12" s="101">
        <f>Assumptions!C7*Assumptions!C19*T4*T5*T7</f>
        <v/>
      </c>
      <c r="U12" s="101">
        <f>Assumptions!C7*Assumptions!C19*U4*U5*U7</f>
        <v/>
      </c>
      <c r="V12" s="101">
        <f>Assumptions!C7*Assumptions!C19*V4*V5*V7</f>
        <v/>
      </c>
      <c r="W12" s="101">
        <f>Assumptions!C7*Assumptions!C19*W4*W5*W7</f>
        <v/>
      </c>
      <c r="X12" s="101">
        <f>Assumptions!C7*Assumptions!C19*X4*X5*X7</f>
        <v/>
      </c>
      <c r="Y12" s="101">
        <f>Assumptions!C7*Assumptions!C19*Y4*Y5*Y7</f>
        <v/>
      </c>
      <c r="Z12" s="101">
        <f>Assumptions!C7*Assumptions!C19*Z4*Z5*Z7</f>
        <v/>
      </c>
      <c r="AA12" s="101">
        <f>Assumptions!C7*Assumptions!C19*AA4*AA5*AA7</f>
        <v/>
      </c>
      <c r="AB12" s="102">
        <f>SUM(P12:AA12)</f>
        <v/>
      </c>
      <c r="AC12" s="101">
        <f>Assumptions!C7*Assumptions!C19*AC4*AC5*AC7</f>
        <v/>
      </c>
      <c r="AD12" s="101">
        <f>Assumptions!C7*Assumptions!C19*AD4*AD5*AD7</f>
        <v/>
      </c>
      <c r="AE12" s="101">
        <f>Assumptions!C7*Assumptions!C19*AE4*AE5*AE7</f>
        <v/>
      </c>
      <c r="AF12" s="101">
        <f>Assumptions!C7*Assumptions!C19*AF4*AF5*AF7</f>
        <v/>
      </c>
      <c r="AG12" s="101">
        <f>Assumptions!C7*Assumptions!C19*AG4*AG5*AG7</f>
        <v/>
      </c>
      <c r="AH12" s="101">
        <f>Assumptions!C7*Assumptions!C19*AH4*AH5*AH7</f>
        <v/>
      </c>
      <c r="AI12" s="101">
        <f>Assumptions!C7*Assumptions!C19*AI4*AI5*AI7</f>
        <v/>
      </c>
      <c r="AJ12" s="101">
        <f>Assumptions!C7*Assumptions!C19*AJ4*AJ5*AJ7</f>
        <v/>
      </c>
      <c r="AK12" s="101">
        <f>Assumptions!C7*Assumptions!C19*AK4*AK5*AK7</f>
        <v/>
      </c>
      <c r="AL12" s="101">
        <f>Assumptions!C7*Assumptions!C19*AL4*AL5*AL7</f>
        <v/>
      </c>
      <c r="AM12" s="101">
        <f>Assumptions!C7*Assumptions!C19*AM4*AM5*AM7</f>
        <v/>
      </c>
      <c r="AN12" s="101">
        <f>Assumptions!C7*Assumptions!C19*AN4*AN5*AN7</f>
        <v/>
      </c>
      <c r="AO12" s="102">
        <f>SUM(AC12:AN12)</f>
        <v/>
      </c>
    </row>
    <row r="13" ht="15" customHeight="1" s="64">
      <c r="B13" s="89" t="inlineStr">
        <is>
          <t>Total Dinner Revenue</t>
        </is>
      </c>
      <c r="C13" s="103">
        <f>C10+C11+C12</f>
        <v/>
      </c>
      <c r="D13" s="103">
        <f>D10+D11+D12</f>
        <v/>
      </c>
      <c r="E13" s="103">
        <f>E10+E11+E12</f>
        <v/>
      </c>
      <c r="F13" s="103">
        <f>F10+F11+F12</f>
        <v/>
      </c>
      <c r="G13" s="103">
        <f>G10+G11+G12</f>
        <v/>
      </c>
      <c r="H13" s="103">
        <f>H10+H11+H12</f>
        <v/>
      </c>
      <c r="I13" s="103">
        <f>I10+I11+I12</f>
        <v/>
      </c>
      <c r="J13" s="103">
        <f>J10+J11+J12</f>
        <v/>
      </c>
      <c r="K13" s="103">
        <f>K10+K11+K12</f>
        <v/>
      </c>
      <c r="L13" s="103">
        <f>L10+L11+L12</f>
        <v/>
      </c>
      <c r="M13" s="103">
        <f>M10+M11+M12</f>
        <v/>
      </c>
      <c r="N13" s="103">
        <f>N10+N11+N12</f>
        <v/>
      </c>
      <c r="O13" s="102">
        <f>SUM(C13:N13)</f>
        <v/>
      </c>
      <c r="P13" s="103">
        <f>P10+P11+P12</f>
        <v/>
      </c>
      <c r="Q13" s="103">
        <f>Q10+Q11+Q12</f>
        <v/>
      </c>
      <c r="R13" s="103">
        <f>R10+R11+R12</f>
        <v/>
      </c>
      <c r="S13" s="103">
        <f>S10+S11+S12</f>
        <v/>
      </c>
      <c r="T13" s="103">
        <f>T10+T11+T12</f>
        <v/>
      </c>
      <c r="U13" s="103">
        <f>U10+U11+U12</f>
        <v/>
      </c>
      <c r="V13" s="103">
        <f>V10+V11+V12</f>
        <v/>
      </c>
      <c r="W13" s="103">
        <f>W10+W11+W12</f>
        <v/>
      </c>
      <c r="X13" s="103">
        <f>X10+X11+X12</f>
        <v/>
      </c>
      <c r="Y13" s="103">
        <f>Y10+Y11+Y12</f>
        <v/>
      </c>
      <c r="Z13" s="103">
        <f>Z10+Z11+Z12</f>
        <v/>
      </c>
      <c r="AA13" s="103">
        <f>AA10+AA11+AA12</f>
        <v/>
      </c>
      <c r="AB13" s="102">
        <f>SUM(P13:AA13)</f>
        <v/>
      </c>
      <c r="AC13" s="103">
        <f>AC10+AC11+AC12</f>
        <v/>
      </c>
      <c r="AD13" s="103">
        <f>AD10+AD11+AD12</f>
        <v/>
      </c>
      <c r="AE13" s="103">
        <f>AE10+AE11+AE12</f>
        <v/>
      </c>
      <c r="AF13" s="103">
        <f>AF10+AF11+AF12</f>
        <v/>
      </c>
      <c r="AG13" s="103">
        <f>AG10+AG11+AG12</f>
        <v/>
      </c>
      <c r="AH13" s="103">
        <f>AH10+AH11+AH12</f>
        <v/>
      </c>
      <c r="AI13" s="103">
        <f>AI10+AI11+AI12</f>
        <v/>
      </c>
      <c r="AJ13" s="103">
        <f>AJ10+AJ11+AJ12</f>
        <v/>
      </c>
      <c r="AK13" s="103">
        <f>AK10+AK11+AK12</f>
        <v/>
      </c>
      <c r="AL13" s="103">
        <f>AL10+AL11+AL12</f>
        <v/>
      </c>
      <c r="AM13" s="103">
        <f>AM10+AM11+AM12</f>
        <v/>
      </c>
      <c r="AN13" s="103">
        <f>AN10+AN11+AN12</f>
        <v/>
      </c>
      <c r="AO13" s="102">
        <f>SUM(AC13:AN13)</f>
        <v/>
      </c>
    </row>
    <row r="14"/>
    <row r="15" ht="15" customHeight="1" s="64">
      <c r="B15" s="78" t="inlineStr">
        <is>
          <t>LUNCH REVENUE</t>
        </is>
      </c>
    </row>
    <row r="16" ht="15" customHeight="1" s="64">
      <c r="B16" s="80" t="inlineStr">
        <is>
          <t xml:space="preserve">  VIP Room 1 (6 pax) — Lunch</t>
        </is>
      </c>
      <c r="C16" s="101">
        <f>Assumptions!C5*Assumptions!C23*C4*C6*C7</f>
        <v/>
      </c>
      <c r="D16" s="101">
        <f>Assumptions!C5*Assumptions!C23*D4*D6*D7</f>
        <v/>
      </c>
      <c r="E16" s="101">
        <f>Assumptions!C5*Assumptions!C23*E4*E6*E7</f>
        <v/>
      </c>
      <c r="F16" s="101">
        <f>Assumptions!C5*Assumptions!C23*F4*F6*F7</f>
        <v/>
      </c>
      <c r="G16" s="101">
        <f>Assumptions!C5*Assumptions!C23*G4*G6*G7</f>
        <v/>
      </c>
      <c r="H16" s="101">
        <f>Assumptions!C5*Assumptions!C23*H4*H6*H7</f>
        <v/>
      </c>
      <c r="I16" s="101">
        <f>Assumptions!C5*Assumptions!C23*I4*I6*I7</f>
        <v/>
      </c>
      <c r="J16" s="101">
        <f>Assumptions!C5*Assumptions!C23*J4*J6*J7</f>
        <v/>
      </c>
      <c r="K16" s="101">
        <f>Assumptions!C5*Assumptions!C23*K4*K6*K7</f>
        <v/>
      </c>
      <c r="L16" s="101">
        <f>Assumptions!C5*Assumptions!C23*L4*L6*L7</f>
        <v/>
      </c>
      <c r="M16" s="101">
        <f>Assumptions!C5*Assumptions!C23*M4*M6*M7</f>
        <v/>
      </c>
      <c r="N16" s="101">
        <f>Assumptions!C5*Assumptions!C23*N4*N6*N7</f>
        <v/>
      </c>
      <c r="O16" s="102">
        <f>SUM(C16:N16)</f>
        <v/>
      </c>
      <c r="P16" s="101">
        <f>Assumptions!C5*Assumptions!C23*P4*P6*P7</f>
        <v/>
      </c>
      <c r="Q16" s="101">
        <f>Assumptions!C5*Assumptions!C23*Q4*Q6*Q7</f>
        <v/>
      </c>
      <c r="R16" s="101">
        <f>Assumptions!C5*Assumptions!C23*R4*R6*R7</f>
        <v/>
      </c>
      <c r="S16" s="101">
        <f>Assumptions!C5*Assumptions!C23*S4*S6*S7</f>
        <v/>
      </c>
      <c r="T16" s="101">
        <f>Assumptions!C5*Assumptions!C23*T4*T6*T7</f>
        <v/>
      </c>
      <c r="U16" s="101">
        <f>Assumptions!C5*Assumptions!C23*U4*U6*U7</f>
        <v/>
      </c>
      <c r="V16" s="101">
        <f>Assumptions!C5*Assumptions!C23*V4*V6*V7</f>
        <v/>
      </c>
      <c r="W16" s="101">
        <f>Assumptions!C5*Assumptions!C23*W4*W6*W7</f>
        <v/>
      </c>
      <c r="X16" s="101">
        <f>Assumptions!C5*Assumptions!C23*X4*X6*X7</f>
        <v/>
      </c>
      <c r="Y16" s="101">
        <f>Assumptions!C5*Assumptions!C23*Y4*Y6*Y7</f>
        <v/>
      </c>
      <c r="Z16" s="101">
        <f>Assumptions!C5*Assumptions!C23*Z4*Z6*Z7</f>
        <v/>
      </c>
      <c r="AA16" s="101">
        <f>Assumptions!C5*Assumptions!C23*AA4*AA6*AA7</f>
        <v/>
      </c>
      <c r="AB16" s="102">
        <f>SUM(P16:AA16)</f>
        <v/>
      </c>
      <c r="AC16" s="101">
        <f>Assumptions!C5*Assumptions!C23*AC4*AC6*AC7</f>
        <v/>
      </c>
      <c r="AD16" s="101">
        <f>Assumptions!C5*Assumptions!C23*AD4*AD6*AD7</f>
        <v/>
      </c>
      <c r="AE16" s="101">
        <f>Assumptions!C5*Assumptions!C23*AE4*AE6*AE7</f>
        <v/>
      </c>
      <c r="AF16" s="101">
        <f>Assumptions!C5*Assumptions!C23*AF4*AF6*AF7</f>
        <v/>
      </c>
      <c r="AG16" s="101">
        <f>Assumptions!C5*Assumptions!C23*AG4*AG6*AG7</f>
        <v/>
      </c>
      <c r="AH16" s="101">
        <f>Assumptions!C5*Assumptions!C23*AH4*AH6*AH7</f>
        <v/>
      </c>
      <c r="AI16" s="101">
        <f>Assumptions!C5*Assumptions!C23*AI4*AI6*AI7</f>
        <v/>
      </c>
      <c r="AJ16" s="101">
        <f>Assumptions!C5*Assumptions!C23*AJ4*AJ6*AJ7</f>
        <v/>
      </c>
      <c r="AK16" s="101">
        <f>Assumptions!C5*Assumptions!C23*AK4*AK6*AK7</f>
        <v/>
      </c>
      <c r="AL16" s="101">
        <f>Assumptions!C5*Assumptions!C23*AL4*AL6*AL7</f>
        <v/>
      </c>
      <c r="AM16" s="101">
        <f>Assumptions!C5*Assumptions!C23*AM4*AM6*AM7</f>
        <v/>
      </c>
      <c r="AN16" s="101">
        <f>Assumptions!C5*Assumptions!C23*AN4*AN6*AN7</f>
        <v/>
      </c>
      <c r="AO16" s="102">
        <f>SUM(AC16:AN16)</f>
        <v/>
      </c>
    </row>
    <row r="17" ht="15" customHeight="1" s="64">
      <c r="B17" s="80" t="inlineStr">
        <is>
          <t xml:space="preserve">  VIP Room 2 (12 pax) — Lunch</t>
        </is>
      </c>
      <c r="C17" s="101">
        <f>Assumptions!C6*Assumptions!C23*C4*C6*C7</f>
        <v/>
      </c>
      <c r="D17" s="101">
        <f>Assumptions!C6*Assumptions!C23*D4*D6*D7</f>
        <v/>
      </c>
      <c r="E17" s="101">
        <f>Assumptions!C6*Assumptions!C23*E4*E6*E7</f>
        <v/>
      </c>
      <c r="F17" s="101">
        <f>Assumptions!C6*Assumptions!C23*F4*F6*F7</f>
        <v/>
      </c>
      <c r="G17" s="101">
        <f>Assumptions!C6*Assumptions!C23*G4*G6*G7</f>
        <v/>
      </c>
      <c r="H17" s="101">
        <f>Assumptions!C6*Assumptions!C23*H4*H6*H7</f>
        <v/>
      </c>
      <c r="I17" s="101">
        <f>Assumptions!C6*Assumptions!C23*I4*I6*I7</f>
        <v/>
      </c>
      <c r="J17" s="101">
        <f>Assumptions!C6*Assumptions!C23*J4*J6*J7</f>
        <v/>
      </c>
      <c r="K17" s="101">
        <f>Assumptions!C6*Assumptions!C23*K4*K6*K7</f>
        <v/>
      </c>
      <c r="L17" s="101">
        <f>Assumptions!C6*Assumptions!C23*L4*L6*L7</f>
        <v/>
      </c>
      <c r="M17" s="101">
        <f>Assumptions!C6*Assumptions!C23*M4*M6*M7</f>
        <v/>
      </c>
      <c r="N17" s="101">
        <f>Assumptions!C6*Assumptions!C23*N4*N6*N7</f>
        <v/>
      </c>
      <c r="O17" s="102">
        <f>SUM(C17:N17)</f>
        <v/>
      </c>
      <c r="P17" s="101">
        <f>Assumptions!C6*Assumptions!C23*P4*P6*P7</f>
        <v/>
      </c>
      <c r="Q17" s="101">
        <f>Assumptions!C6*Assumptions!C23*Q4*Q6*Q7</f>
        <v/>
      </c>
      <c r="R17" s="101">
        <f>Assumptions!C6*Assumptions!C23*R4*R6*R7</f>
        <v/>
      </c>
      <c r="S17" s="101">
        <f>Assumptions!C6*Assumptions!C23*S4*S6*S7</f>
        <v/>
      </c>
      <c r="T17" s="101">
        <f>Assumptions!C6*Assumptions!C23*T4*T6*T7</f>
        <v/>
      </c>
      <c r="U17" s="101">
        <f>Assumptions!C6*Assumptions!C23*U4*U6*U7</f>
        <v/>
      </c>
      <c r="V17" s="101">
        <f>Assumptions!C6*Assumptions!C23*V4*V6*V7</f>
        <v/>
      </c>
      <c r="W17" s="101">
        <f>Assumptions!C6*Assumptions!C23*W4*W6*W7</f>
        <v/>
      </c>
      <c r="X17" s="101">
        <f>Assumptions!C6*Assumptions!C23*X4*X6*X7</f>
        <v/>
      </c>
      <c r="Y17" s="101">
        <f>Assumptions!C6*Assumptions!C23*Y4*Y6*Y7</f>
        <v/>
      </c>
      <c r="Z17" s="101">
        <f>Assumptions!C6*Assumptions!C23*Z4*Z6*Z7</f>
        <v/>
      </c>
      <c r="AA17" s="101">
        <f>Assumptions!C6*Assumptions!C23*AA4*AA6*AA7</f>
        <v/>
      </c>
      <c r="AB17" s="102">
        <f>SUM(P17:AA17)</f>
        <v/>
      </c>
      <c r="AC17" s="101">
        <f>Assumptions!C6*Assumptions!C23*AC4*AC6*AC7</f>
        <v/>
      </c>
      <c r="AD17" s="101">
        <f>Assumptions!C6*Assumptions!C23*AD4*AD6*AD7</f>
        <v/>
      </c>
      <c r="AE17" s="101">
        <f>Assumptions!C6*Assumptions!C23*AE4*AE6*AE7</f>
        <v/>
      </c>
      <c r="AF17" s="101">
        <f>Assumptions!C6*Assumptions!C23*AF4*AF6*AF7</f>
        <v/>
      </c>
      <c r="AG17" s="101">
        <f>Assumptions!C6*Assumptions!C23*AG4*AG6*AG7</f>
        <v/>
      </c>
      <c r="AH17" s="101">
        <f>Assumptions!C6*Assumptions!C23*AH4*AH6*AH7</f>
        <v/>
      </c>
      <c r="AI17" s="101">
        <f>Assumptions!C6*Assumptions!C23*AI4*AI6*AI7</f>
        <v/>
      </c>
      <c r="AJ17" s="101">
        <f>Assumptions!C6*Assumptions!C23*AJ4*AJ6*AJ7</f>
        <v/>
      </c>
      <c r="AK17" s="101">
        <f>Assumptions!C6*Assumptions!C23*AK4*AK6*AK7</f>
        <v/>
      </c>
      <c r="AL17" s="101">
        <f>Assumptions!C6*Assumptions!C23*AL4*AL6*AL7</f>
        <v/>
      </c>
      <c r="AM17" s="101">
        <f>Assumptions!C6*Assumptions!C23*AM4*AM6*AM7</f>
        <v/>
      </c>
      <c r="AN17" s="101">
        <f>Assumptions!C6*Assumptions!C23*AN4*AN6*AN7</f>
        <v/>
      </c>
      <c r="AO17" s="102">
        <f>SUM(AC17:AN17)</f>
        <v/>
      </c>
    </row>
    <row r="18" ht="15" customHeight="1" s="64">
      <c r="B18" s="104" t="inlineStr">
        <is>
          <t xml:space="preserve">  Main / Outdoor (30 pax) — Lunch</t>
        </is>
      </c>
      <c r="C18" s="105">
        <f>Assumptions!C7*Assumptions!C24*C4*C5*C7</f>
        <v/>
      </c>
      <c r="D18" s="105">
        <f>Assumptions!C7*Assumptions!C24*D4*D5*D7</f>
        <v/>
      </c>
      <c r="E18" s="105">
        <f>Assumptions!C7*Assumptions!C24*E4*E5*E7</f>
        <v/>
      </c>
      <c r="F18" s="105">
        <f>Assumptions!C7*Assumptions!C24*F4*F5*F7</f>
        <v/>
      </c>
      <c r="G18" s="105">
        <f>Assumptions!C7*Assumptions!C24*G4*G5*G7</f>
        <v/>
      </c>
      <c r="H18" s="105">
        <f>Assumptions!C7*Assumptions!C24*H4*H5*H7</f>
        <v/>
      </c>
      <c r="I18" s="105">
        <f>Assumptions!C7*Assumptions!C24*I4*I5*I7</f>
        <v/>
      </c>
      <c r="J18" s="105">
        <f>Assumptions!C7*Assumptions!C24*J4*J5*J7</f>
        <v/>
      </c>
      <c r="K18" s="105">
        <f>Assumptions!C7*Assumptions!C24*K4*K5*K7</f>
        <v/>
      </c>
      <c r="L18" s="105">
        <f>Assumptions!C7*Assumptions!C24*L4*L5*L7</f>
        <v/>
      </c>
      <c r="M18" s="105">
        <f>Assumptions!C7*Assumptions!C24*M4*M5*M7</f>
        <v/>
      </c>
      <c r="N18" s="105">
        <f>Assumptions!C7*Assumptions!C24*N4*N5*N7</f>
        <v/>
      </c>
      <c r="O18" s="102">
        <f>SUM(C18:N18)</f>
        <v/>
      </c>
      <c r="P18" s="105">
        <f>Assumptions!C7*Assumptions!C24*P4*P5*P7</f>
        <v/>
      </c>
      <c r="Q18" s="105">
        <f>Assumptions!C7*Assumptions!C24*Q4*Q5*Q7</f>
        <v/>
      </c>
      <c r="R18" s="105">
        <f>Assumptions!C7*Assumptions!C24*R4*R5*R7</f>
        <v/>
      </c>
      <c r="S18" s="105">
        <f>Assumptions!C7*Assumptions!C24*S4*S5*S7</f>
        <v/>
      </c>
      <c r="T18" s="105">
        <f>Assumptions!C7*Assumptions!C24*T4*T5*T7</f>
        <v/>
      </c>
      <c r="U18" s="105">
        <f>Assumptions!C7*Assumptions!C24*U4*U5*U7</f>
        <v/>
      </c>
      <c r="V18" s="105">
        <f>Assumptions!C7*Assumptions!C24*V4*V5*V7</f>
        <v/>
      </c>
      <c r="W18" s="105">
        <f>Assumptions!C7*Assumptions!C24*W4*W5*W7</f>
        <v/>
      </c>
      <c r="X18" s="105">
        <f>Assumptions!C7*Assumptions!C24*X4*X5*X7</f>
        <v/>
      </c>
      <c r="Y18" s="105">
        <f>Assumptions!C7*Assumptions!C24*Y4*Y5*Y7</f>
        <v/>
      </c>
      <c r="Z18" s="105">
        <f>Assumptions!C7*Assumptions!C24*Z4*Z5*Z7</f>
        <v/>
      </c>
      <c r="AA18" s="105">
        <f>Assumptions!C7*Assumptions!C24*AA4*AA5*AA7</f>
        <v/>
      </c>
      <c r="AB18" s="102">
        <f>SUM(P18:AA18)</f>
        <v/>
      </c>
      <c r="AC18" s="105">
        <f>Assumptions!C7*Assumptions!C24*AC4*AC5*AC7</f>
        <v/>
      </c>
      <c r="AD18" s="105">
        <f>Assumptions!C7*Assumptions!C24*AD4*AD5*AD7</f>
        <v/>
      </c>
      <c r="AE18" s="105">
        <f>Assumptions!C7*Assumptions!C24*AE4*AE5*AE7</f>
        <v/>
      </c>
      <c r="AF18" s="105">
        <f>Assumptions!C7*Assumptions!C24*AF4*AF5*AF7</f>
        <v/>
      </c>
      <c r="AG18" s="105">
        <f>Assumptions!C7*Assumptions!C24*AG4*AG5*AG7</f>
        <v/>
      </c>
      <c r="AH18" s="105">
        <f>Assumptions!C7*Assumptions!C24*AH4*AH5*AH7</f>
        <v/>
      </c>
      <c r="AI18" s="105">
        <f>Assumptions!C7*Assumptions!C24*AI4*AI5*AI7</f>
        <v/>
      </c>
      <c r="AJ18" s="105">
        <f>Assumptions!C7*Assumptions!C24*AJ4*AJ5*AJ7</f>
        <v/>
      </c>
      <c r="AK18" s="105">
        <f>Assumptions!C7*Assumptions!C24*AK4*AK5*AK7</f>
        <v/>
      </c>
      <c r="AL18" s="105">
        <f>Assumptions!C7*Assumptions!C24*AL4*AL5*AL7</f>
        <v/>
      </c>
      <c r="AM18" s="105">
        <f>Assumptions!C7*Assumptions!C24*AM4*AM5*AM7</f>
        <v/>
      </c>
      <c r="AN18" s="105">
        <f>Assumptions!C7*Assumptions!C24*AN4*AN5*AN7</f>
        <v/>
      </c>
      <c r="AO18" s="102">
        <f>SUM(AC18:AN18)</f>
        <v/>
      </c>
    </row>
    <row r="19" ht="15" customHeight="1" s="64">
      <c r="B19" s="70" t="inlineStr">
        <is>
          <t>Total Lunch Revenue</t>
        </is>
      </c>
      <c r="C19" s="102">
        <f>C16+C17+C18</f>
        <v/>
      </c>
      <c r="D19" s="102">
        <f>D16+D17+D18</f>
        <v/>
      </c>
      <c r="E19" s="102">
        <f>E16+E17+E18</f>
        <v/>
      </c>
      <c r="F19" s="102">
        <f>F16+F17+F18</f>
        <v/>
      </c>
      <c r="G19" s="102">
        <f>G16+G17+G18</f>
        <v/>
      </c>
      <c r="H19" s="102">
        <f>H16+H17+H18</f>
        <v/>
      </c>
      <c r="I19" s="102">
        <f>I16+I17+I18</f>
        <v/>
      </c>
      <c r="J19" s="102">
        <f>J16+J17+J18</f>
        <v/>
      </c>
      <c r="K19" s="102">
        <f>K16+K17+K18</f>
        <v/>
      </c>
      <c r="L19" s="102">
        <f>L16+L17+L18</f>
        <v/>
      </c>
      <c r="M19" s="102">
        <f>M16+M17+M18</f>
        <v/>
      </c>
      <c r="N19" s="102">
        <f>N16+N17+N18</f>
        <v/>
      </c>
      <c r="O19" s="102">
        <f>SUM(C19:N19)</f>
        <v/>
      </c>
      <c r="P19" s="102">
        <f>P16+P17+P18</f>
        <v/>
      </c>
      <c r="Q19" s="102">
        <f>Q16+Q17+Q18</f>
        <v/>
      </c>
      <c r="R19" s="102">
        <f>R16+R17+R18</f>
        <v/>
      </c>
      <c r="S19" s="102">
        <f>S16+S17+S18</f>
        <v/>
      </c>
      <c r="T19" s="102">
        <f>T16+T17+T18</f>
        <v/>
      </c>
      <c r="U19" s="102">
        <f>U16+U17+U18</f>
        <v/>
      </c>
      <c r="V19" s="102">
        <f>V16+V17+V18</f>
        <v/>
      </c>
      <c r="W19" s="102">
        <f>W16+W17+W18</f>
        <v/>
      </c>
      <c r="X19" s="102">
        <f>X16+X17+X18</f>
        <v/>
      </c>
      <c r="Y19" s="102">
        <f>Y16+Y17+Y18</f>
        <v/>
      </c>
      <c r="Z19" s="102">
        <f>Z16+Z17+Z18</f>
        <v/>
      </c>
      <c r="AA19" s="102">
        <f>AA16+AA17+AA18</f>
        <v/>
      </c>
      <c r="AB19" s="102">
        <f>SUM(P19:AA19)</f>
        <v/>
      </c>
      <c r="AC19" s="102">
        <f>AC16+AC17+AC18</f>
        <v/>
      </c>
      <c r="AD19" s="102">
        <f>AD16+AD17+AD18</f>
        <v/>
      </c>
      <c r="AE19" s="102">
        <f>AE16+AE17+AE18</f>
        <v/>
      </c>
      <c r="AF19" s="102">
        <f>AF16+AF17+AF18</f>
        <v/>
      </c>
      <c r="AG19" s="102">
        <f>AG16+AG17+AG18</f>
        <v/>
      </c>
      <c r="AH19" s="102">
        <f>AH16+AH17+AH18</f>
        <v/>
      </c>
      <c r="AI19" s="102">
        <f>AI16+AI17+AI18</f>
        <v/>
      </c>
      <c r="AJ19" s="102">
        <f>AJ16+AJ17+AJ18</f>
        <v/>
      </c>
      <c r="AK19" s="102">
        <f>AK16+AK17+AK18</f>
        <v/>
      </c>
      <c r="AL19" s="102">
        <f>AL16+AL17+AL18</f>
        <v/>
      </c>
      <c r="AM19" s="102">
        <f>AM16+AM17+AM18</f>
        <v/>
      </c>
      <c r="AN19" s="102">
        <f>AN16+AN17+AN18</f>
        <v/>
      </c>
      <c r="AO19" s="102">
        <f>SUM(AC19:AN19)</f>
        <v/>
      </c>
    </row>
    <row r="20" ht="15" customHeight="1" s="64">
      <c r="B20" s="80" t="inlineStr">
        <is>
          <t>Service Charge (10%)</t>
        </is>
      </c>
      <c r="C20" s="101">
        <f>(C13+C18)*Assumptions!C20</f>
        <v/>
      </c>
      <c r="D20" s="101">
        <f>(D13+D18)*Assumptions!C20</f>
        <v/>
      </c>
      <c r="E20" s="101">
        <f>(E13+E18)*Assumptions!C20</f>
        <v/>
      </c>
      <c r="F20" s="101">
        <f>(F13+F18)*Assumptions!C20</f>
        <v/>
      </c>
      <c r="G20" s="101">
        <f>(G13+G18)*Assumptions!C20</f>
        <v/>
      </c>
      <c r="H20" s="101">
        <f>(H13+H18)*Assumptions!C20</f>
        <v/>
      </c>
      <c r="I20" s="101">
        <f>(I13+I18)*Assumptions!C20</f>
        <v/>
      </c>
      <c r="J20" s="101">
        <f>(J13+J18)*Assumptions!C20</f>
        <v/>
      </c>
      <c r="K20" s="101">
        <f>(K13+K18)*Assumptions!C20</f>
        <v/>
      </c>
      <c r="L20" s="101">
        <f>(L13+L18)*Assumptions!C20</f>
        <v/>
      </c>
      <c r="M20" s="101">
        <f>(M13+M18)*Assumptions!C20</f>
        <v/>
      </c>
      <c r="N20" s="101">
        <f>(N13+N18)*Assumptions!C20</f>
        <v/>
      </c>
      <c r="O20" s="102">
        <f>SUM(C20:N20)</f>
        <v/>
      </c>
      <c r="P20" s="101">
        <f>(P13+P18)*Assumptions!C20</f>
        <v/>
      </c>
      <c r="Q20" s="101">
        <f>(Q13+Q18)*Assumptions!C20</f>
        <v/>
      </c>
      <c r="R20" s="101">
        <f>(R13+R18)*Assumptions!C20</f>
        <v/>
      </c>
      <c r="S20" s="101">
        <f>(S13+S18)*Assumptions!C20</f>
        <v/>
      </c>
      <c r="T20" s="101">
        <f>(T13+T18)*Assumptions!C20</f>
        <v/>
      </c>
      <c r="U20" s="101">
        <f>(U13+U18)*Assumptions!C20</f>
        <v/>
      </c>
      <c r="V20" s="101">
        <f>(V13+V18)*Assumptions!C20</f>
        <v/>
      </c>
      <c r="W20" s="101">
        <f>(W13+W18)*Assumptions!C20</f>
        <v/>
      </c>
      <c r="X20" s="101">
        <f>(X13+X18)*Assumptions!C20</f>
        <v/>
      </c>
      <c r="Y20" s="101">
        <f>(Y13+Y18)*Assumptions!C20</f>
        <v/>
      </c>
      <c r="Z20" s="101">
        <f>(Z13+Z18)*Assumptions!C20</f>
        <v/>
      </c>
      <c r="AA20" s="101">
        <f>(AA13+AA18)*Assumptions!C20</f>
        <v/>
      </c>
      <c r="AB20" s="102">
        <f>SUM(P20:AA20)</f>
        <v/>
      </c>
      <c r="AC20" s="101">
        <f>(AC13+AC18)*Assumptions!C20</f>
        <v/>
      </c>
      <c r="AD20" s="101">
        <f>(AD13+AD18)*Assumptions!C20</f>
        <v/>
      </c>
      <c r="AE20" s="101">
        <f>(AE13+AE18)*Assumptions!C20</f>
        <v/>
      </c>
      <c r="AF20" s="101">
        <f>(AF13+AF18)*Assumptions!C20</f>
        <v/>
      </c>
      <c r="AG20" s="101">
        <f>(AG13+AG18)*Assumptions!C20</f>
        <v/>
      </c>
      <c r="AH20" s="101">
        <f>(AH13+AH18)*Assumptions!C20</f>
        <v/>
      </c>
      <c r="AI20" s="101">
        <f>(AI13+AI18)*Assumptions!C20</f>
        <v/>
      </c>
      <c r="AJ20" s="101">
        <f>(AJ13+AJ18)*Assumptions!C20</f>
        <v/>
      </c>
      <c r="AK20" s="101">
        <f>(AK13+AK18)*Assumptions!C20</f>
        <v/>
      </c>
      <c r="AL20" s="101">
        <f>(AL13+AL18)*Assumptions!C20</f>
        <v/>
      </c>
      <c r="AM20" s="101">
        <f>(AM13+AM18)*Assumptions!C20</f>
        <v/>
      </c>
      <c r="AN20" s="101">
        <f>(AN13+AN18)*Assumptions!C20</f>
        <v/>
      </c>
      <c r="AO20" s="102">
        <f>SUM(AC20:AN20)</f>
        <v/>
      </c>
    </row>
    <row r="21" ht="15" customHeight="1" s="64">
      <c r="B21" s="106" t="inlineStr">
        <is>
          <t>TOTAL GROSS REVENUE</t>
        </is>
      </c>
      <c r="C21" s="107">
        <f>C13+C19</f>
        <v/>
      </c>
      <c r="D21" s="107">
        <f>D13+D19</f>
        <v/>
      </c>
      <c r="E21" s="107">
        <f>E13+E19</f>
        <v/>
      </c>
      <c r="F21" s="107">
        <f>F13+F19</f>
        <v/>
      </c>
      <c r="G21" s="107">
        <f>G13+G19</f>
        <v/>
      </c>
      <c r="H21" s="107">
        <f>H13+H19</f>
        <v/>
      </c>
      <c r="I21" s="107">
        <f>I13+I19</f>
        <v/>
      </c>
      <c r="J21" s="107">
        <f>J13+J19</f>
        <v/>
      </c>
      <c r="K21" s="107">
        <f>K13+K19</f>
        <v/>
      </c>
      <c r="L21" s="107">
        <f>L13+L19</f>
        <v/>
      </c>
      <c r="M21" s="107">
        <f>M13+M19</f>
        <v/>
      </c>
      <c r="N21" s="107">
        <f>N13+N19</f>
        <v/>
      </c>
      <c r="O21" s="102">
        <f>SUM(C21:N21)</f>
        <v/>
      </c>
      <c r="P21" s="107">
        <f>P13+P19</f>
        <v/>
      </c>
      <c r="Q21" s="107">
        <f>Q13+Q19</f>
        <v/>
      </c>
      <c r="R21" s="107">
        <f>R13+R19</f>
        <v/>
      </c>
      <c r="S21" s="107">
        <f>S13+S19</f>
        <v/>
      </c>
      <c r="T21" s="107">
        <f>T13+T19</f>
        <v/>
      </c>
      <c r="U21" s="107">
        <f>U13+U19</f>
        <v/>
      </c>
      <c r="V21" s="107">
        <f>V13+V19</f>
        <v/>
      </c>
      <c r="W21" s="107">
        <f>W13+W19</f>
        <v/>
      </c>
      <c r="X21" s="107">
        <f>X13+X19</f>
        <v/>
      </c>
      <c r="Y21" s="107">
        <f>Y13+Y19</f>
        <v/>
      </c>
      <c r="Z21" s="107">
        <f>Z13+Z19</f>
        <v/>
      </c>
      <c r="AA21" s="107">
        <f>AA13+AA19</f>
        <v/>
      </c>
      <c r="AB21" s="102">
        <f>SUM(P21:AA21)</f>
        <v/>
      </c>
      <c r="AC21" s="107">
        <f>AC13+AC19</f>
        <v/>
      </c>
      <c r="AD21" s="107">
        <f>AD13+AD19</f>
        <v/>
      </c>
      <c r="AE21" s="107">
        <f>AE13+AE19</f>
        <v/>
      </c>
      <c r="AF21" s="107">
        <f>AF13+AF19</f>
        <v/>
      </c>
      <c r="AG21" s="107">
        <f>AG13+AG19</f>
        <v/>
      </c>
      <c r="AH21" s="107">
        <f>AH13+AH19</f>
        <v/>
      </c>
      <c r="AI21" s="107">
        <f>AI13+AI19</f>
        <v/>
      </c>
      <c r="AJ21" s="107">
        <f>AJ13+AJ19</f>
        <v/>
      </c>
      <c r="AK21" s="107">
        <f>AK13+AK19</f>
        <v/>
      </c>
      <c r="AL21" s="107">
        <f>AL13+AL19</f>
        <v/>
      </c>
      <c r="AM21" s="107">
        <f>AM13+AM19</f>
        <v/>
      </c>
      <c r="AN21" s="107">
        <f>AN13+AN19</f>
        <v/>
      </c>
      <c r="AO21" s="102">
        <f>SUM(AC21:AN21)</f>
        <v/>
      </c>
    </row>
    <row r="22" ht="15" customHeight="1" s="64">
      <c r="B22" s="108" t="inlineStr">
        <is>
          <t>NET REVENUE</t>
        </is>
      </c>
      <c r="C22" s="109">
        <f>C13+C18+C20</f>
        <v/>
      </c>
      <c r="D22" s="109">
        <f>D13+D18+D20</f>
        <v/>
      </c>
      <c r="E22" s="109">
        <f>E13+E18+E20</f>
        <v/>
      </c>
      <c r="F22" s="109">
        <f>F13+F18+F20</f>
        <v/>
      </c>
      <c r="G22" s="109">
        <f>G13+G18+G20</f>
        <v/>
      </c>
      <c r="H22" s="109">
        <f>H13+H18+H20</f>
        <v/>
      </c>
      <c r="I22" s="109">
        <f>I13+I18+I20</f>
        <v/>
      </c>
      <c r="J22" s="109">
        <f>J13+J18+J20</f>
        <v/>
      </c>
      <c r="K22" s="109">
        <f>K13+K18+K20</f>
        <v/>
      </c>
      <c r="L22" s="109">
        <f>L13+L18+L20</f>
        <v/>
      </c>
      <c r="M22" s="109">
        <f>M13+M18+M20</f>
        <v/>
      </c>
      <c r="N22" s="109">
        <f>N13+N18+N20</f>
        <v/>
      </c>
      <c r="O22" s="102">
        <f>SUM(C22:N22)</f>
        <v/>
      </c>
      <c r="P22" s="109">
        <f>P13+P18+P20</f>
        <v/>
      </c>
      <c r="Q22" s="109">
        <f>Q13+Q18+Q20</f>
        <v/>
      </c>
      <c r="R22" s="109">
        <f>R13+R18+R20</f>
        <v/>
      </c>
      <c r="S22" s="109">
        <f>S13+S18+S20</f>
        <v/>
      </c>
      <c r="T22" s="109">
        <f>T13+T18+T20</f>
        <v/>
      </c>
      <c r="U22" s="109">
        <f>U13+U18+U20</f>
        <v/>
      </c>
      <c r="V22" s="109">
        <f>V13+V18+V20</f>
        <v/>
      </c>
      <c r="W22" s="109">
        <f>W13+W18+W20</f>
        <v/>
      </c>
      <c r="X22" s="109">
        <f>X13+X18+X20</f>
        <v/>
      </c>
      <c r="Y22" s="109">
        <f>Y13+Y18+Y20</f>
        <v/>
      </c>
      <c r="Z22" s="109">
        <f>Z13+Z18+Z20</f>
        <v/>
      </c>
      <c r="AA22" s="109">
        <f>AA13+AA18+AA20</f>
        <v/>
      </c>
      <c r="AB22" s="102">
        <f>SUM(P22:AA22)</f>
        <v/>
      </c>
      <c r="AC22" s="109">
        <f>AC13+AC18+AC20</f>
        <v/>
      </c>
      <c r="AD22" s="109">
        <f>AD13+AD18+AD20</f>
        <v/>
      </c>
      <c r="AE22" s="109">
        <f>AE13+AE18+AE20</f>
        <v/>
      </c>
      <c r="AF22" s="109">
        <f>AF13+AF18+AF20</f>
        <v/>
      </c>
      <c r="AG22" s="109">
        <f>AG13+AG18+AG20</f>
        <v/>
      </c>
      <c r="AH22" s="109">
        <f>AH13+AH18+AH20</f>
        <v/>
      </c>
      <c r="AI22" s="109">
        <f>AI13+AI18+AI20</f>
        <v/>
      </c>
      <c r="AJ22" s="109">
        <f>AJ13+AJ18+AJ20</f>
        <v/>
      </c>
      <c r="AK22" s="109">
        <f>AK13+AK18+AK20</f>
        <v/>
      </c>
      <c r="AL22" s="109">
        <f>AL13+AL18+AL20</f>
        <v/>
      </c>
      <c r="AM22" s="109">
        <f>AM13+AM18+AM20</f>
        <v/>
      </c>
      <c r="AN22" s="109">
        <f>AN13+AN18+AN20</f>
        <v/>
      </c>
      <c r="AO22" s="102">
        <f>SUM(AC22:AN22)</f>
        <v/>
      </c>
    </row>
    <row r="23" ht="15" customHeight="1" s="64">
      <c r="B23" s="78" t="inlineStr">
        <is>
          <t>DISCOUNTS</t>
        </is>
      </c>
    </row>
    <row r="24" ht="15" customHeight="1" s="64">
      <c r="B24" s="110" t="inlineStr">
        <is>
          <t>Shareholder Discount (20% on 10%)</t>
        </is>
      </c>
      <c r="C24" s="111">
        <f>-C21*Assumptions!C38*Assumptions!C39</f>
        <v/>
      </c>
      <c r="D24" s="111">
        <f>-D21*Assumptions!C38*Assumptions!C39</f>
        <v/>
      </c>
      <c r="E24" s="111">
        <f>-E21*Assumptions!C38*Assumptions!C39</f>
        <v/>
      </c>
      <c r="F24" s="111">
        <f>-F21*Assumptions!C38*Assumptions!C39</f>
        <v/>
      </c>
      <c r="G24" s="111">
        <f>-G21*Assumptions!C38*Assumptions!C39</f>
        <v/>
      </c>
      <c r="H24" s="111">
        <f>-H21*Assumptions!C38*Assumptions!C39</f>
        <v/>
      </c>
      <c r="I24" s="111">
        <f>-I21*Assumptions!C38*Assumptions!C39</f>
        <v/>
      </c>
      <c r="J24" s="111">
        <f>-J21*Assumptions!C38*Assumptions!C39</f>
        <v/>
      </c>
      <c r="K24" s="111">
        <f>-K21*Assumptions!C38*Assumptions!C39</f>
        <v/>
      </c>
      <c r="L24" s="111">
        <f>-L21*Assumptions!C38*Assumptions!C39</f>
        <v/>
      </c>
      <c r="M24" s="111">
        <f>-M21*Assumptions!C38*Assumptions!C39</f>
        <v/>
      </c>
      <c r="N24" s="111">
        <f>-N21*Assumptions!C38*Assumptions!C39</f>
        <v/>
      </c>
      <c r="O24" s="102">
        <f>SUM(C24:N24)</f>
        <v/>
      </c>
      <c r="P24" s="111">
        <f>-P21*Assumptions!C38*Assumptions!C39</f>
        <v/>
      </c>
      <c r="Q24" s="111">
        <f>-Q21*Assumptions!C38*Assumptions!C39</f>
        <v/>
      </c>
      <c r="R24" s="111">
        <f>-R21*Assumptions!C38*Assumptions!C39</f>
        <v/>
      </c>
      <c r="S24" s="111">
        <f>-S21*Assumptions!C38*Assumptions!C39</f>
        <v/>
      </c>
      <c r="T24" s="111">
        <f>-T21*Assumptions!C38*Assumptions!C39</f>
        <v/>
      </c>
      <c r="U24" s="111">
        <f>-U21*Assumptions!C38*Assumptions!C39</f>
        <v/>
      </c>
      <c r="V24" s="111">
        <f>-V21*Assumptions!C38*Assumptions!C39</f>
        <v/>
      </c>
      <c r="W24" s="111">
        <f>-W21*Assumptions!C38*Assumptions!C39</f>
        <v/>
      </c>
      <c r="X24" s="111">
        <f>-X21*Assumptions!C38*Assumptions!C39</f>
        <v/>
      </c>
      <c r="Y24" s="111">
        <f>-Y21*Assumptions!C38*Assumptions!C39</f>
        <v/>
      </c>
      <c r="Z24" s="111">
        <f>-Z21*Assumptions!C38*Assumptions!C39</f>
        <v/>
      </c>
      <c r="AA24" s="111">
        <f>-AA21*Assumptions!C38*Assumptions!C39</f>
        <v/>
      </c>
      <c r="AB24" s="102">
        <f>SUM(P24:AA24)</f>
        <v/>
      </c>
      <c r="AC24" s="111">
        <f>-AC21*Assumptions!C38*Assumptions!C39</f>
        <v/>
      </c>
      <c r="AD24" s="111">
        <f>-AD21*Assumptions!C38*Assumptions!C39</f>
        <v/>
      </c>
      <c r="AE24" s="111">
        <f>-AE21*Assumptions!C38*Assumptions!C39</f>
        <v/>
      </c>
      <c r="AF24" s="111">
        <f>-AF21*Assumptions!C38*Assumptions!C39</f>
        <v/>
      </c>
      <c r="AG24" s="111">
        <f>-AG21*Assumptions!C38*Assumptions!C39</f>
        <v/>
      </c>
      <c r="AH24" s="111">
        <f>-AH21*Assumptions!C38*Assumptions!C39</f>
        <v/>
      </c>
      <c r="AI24" s="111">
        <f>-AI21*Assumptions!C38*Assumptions!C39</f>
        <v/>
      </c>
      <c r="AJ24" s="111">
        <f>-AJ21*Assumptions!C38*Assumptions!C39</f>
        <v/>
      </c>
      <c r="AK24" s="111">
        <f>-AK21*Assumptions!C38*Assumptions!C39</f>
        <v/>
      </c>
      <c r="AL24" s="111">
        <f>-AL21*Assumptions!C38*Assumptions!C39</f>
        <v/>
      </c>
      <c r="AM24" s="111">
        <f>-AM21*Assumptions!C38*Assumptions!C39</f>
        <v/>
      </c>
      <c r="AN24" s="111">
        <f>-AN21*Assumptions!C38*Assumptions!C39</f>
        <v/>
      </c>
      <c r="AO24" s="102">
        <f>SUM(AC24:AN24)</f>
        <v/>
      </c>
    </row>
    <row r="25" ht="15" customHeight="1" s="64">
      <c r="B25" s="80" t="inlineStr">
        <is>
          <t>Friends / Special Guest Discount (10% on 10%)</t>
        </is>
      </c>
      <c r="C25" s="101">
        <f>-C21*Assumptions!C40*Assumptions!C41</f>
        <v/>
      </c>
      <c r="D25" s="101">
        <f>-D21*Assumptions!C40*Assumptions!C41</f>
        <v/>
      </c>
      <c r="E25" s="101">
        <f>-E21*Assumptions!C40*Assumptions!C41</f>
        <v/>
      </c>
      <c r="F25" s="101">
        <f>-F21*Assumptions!C40*Assumptions!C41</f>
        <v/>
      </c>
      <c r="G25" s="101">
        <f>-G21*Assumptions!C40*Assumptions!C41</f>
        <v/>
      </c>
      <c r="H25" s="101">
        <f>-H21*Assumptions!C40*Assumptions!C41</f>
        <v/>
      </c>
      <c r="I25" s="101">
        <f>-I21*Assumptions!C40*Assumptions!C41</f>
        <v/>
      </c>
      <c r="J25" s="101">
        <f>-J21*Assumptions!C40*Assumptions!C41</f>
        <v/>
      </c>
      <c r="K25" s="101">
        <f>-K21*Assumptions!C40*Assumptions!C41</f>
        <v/>
      </c>
      <c r="L25" s="101">
        <f>-L21*Assumptions!C40*Assumptions!C41</f>
        <v/>
      </c>
      <c r="M25" s="101">
        <f>-M21*Assumptions!C40*Assumptions!C41</f>
        <v/>
      </c>
      <c r="N25" s="101">
        <f>-N21*Assumptions!C40*Assumptions!C41</f>
        <v/>
      </c>
      <c r="O25" s="102">
        <f>SUM(C25:N25)</f>
        <v/>
      </c>
      <c r="P25" s="101">
        <f>-P21*Assumptions!C40*Assumptions!C41</f>
        <v/>
      </c>
      <c r="Q25" s="101">
        <f>-Q21*Assumptions!C40*Assumptions!C41</f>
        <v/>
      </c>
      <c r="R25" s="101">
        <f>-R21*Assumptions!C40*Assumptions!C41</f>
        <v/>
      </c>
      <c r="S25" s="101">
        <f>-S21*Assumptions!C40*Assumptions!C41</f>
        <v/>
      </c>
      <c r="T25" s="101">
        <f>-T21*Assumptions!C40*Assumptions!C41</f>
        <v/>
      </c>
      <c r="U25" s="101">
        <f>-U21*Assumptions!C40*Assumptions!C41</f>
        <v/>
      </c>
      <c r="V25" s="101">
        <f>-V21*Assumptions!C40*Assumptions!C41</f>
        <v/>
      </c>
      <c r="W25" s="101">
        <f>-W21*Assumptions!C40*Assumptions!C41</f>
        <v/>
      </c>
      <c r="X25" s="101">
        <f>-X21*Assumptions!C40*Assumptions!C41</f>
        <v/>
      </c>
      <c r="Y25" s="101">
        <f>-Y21*Assumptions!C40*Assumptions!C41</f>
        <v/>
      </c>
      <c r="Z25" s="101">
        <f>-Z21*Assumptions!C40*Assumptions!C41</f>
        <v/>
      </c>
      <c r="AA25" s="101">
        <f>-AA21*Assumptions!C40*Assumptions!C41</f>
        <v/>
      </c>
      <c r="AB25" s="102">
        <f>SUM(P25:AA25)</f>
        <v/>
      </c>
      <c r="AC25" s="101">
        <f>-AC21*Assumptions!C40*Assumptions!C41</f>
        <v/>
      </c>
      <c r="AD25" s="101">
        <f>-AD21*Assumptions!C40*Assumptions!C41</f>
        <v/>
      </c>
      <c r="AE25" s="101">
        <f>-AE21*Assumptions!C40*Assumptions!C41</f>
        <v/>
      </c>
      <c r="AF25" s="101">
        <f>-AF21*Assumptions!C40*Assumptions!C41</f>
        <v/>
      </c>
      <c r="AG25" s="101">
        <f>-AG21*Assumptions!C40*Assumptions!C41</f>
        <v/>
      </c>
      <c r="AH25" s="101">
        <f>-AH21*Assumptions!C40*Assumptions!C41</f>
        <v/>
      </c>
      <c r="AI25" s="101">
        <f>-AI21*Assumptions!C40*Assumptions!C41</f>
        <v/>
      </c>
      <c r="AJ25" s="101">
        <f>-AJ21*Assumptions!C40*Assumptions!C41</f>
        <v/>
      </c>
      <c r="AK25" s="101">
        <f>-AK21*Assumptions!C40*Assumptions!C41</f>
        <v/>
      </c>
      <c r="AL25" s="101">
        <f>-AL21*Assumptions!C40*Assumptions!C41</f>
        <v/>
      </c>
      <c r="AM25" s="101">
        <f>-AM21*Assumptions!C40*Assumptions!C41</f>
        <v/>
      </c>
      <c r="AN25" s="101">
        <f>-AN21*Assumptions!C40*Assumptions!C41</f>
        <v/>
      </c>
      <c r="AO25" s="102">
        <f>SUM(AC25:AN25)</f>
        <v/>
      </c>
    </row>
    <row r="26" ht="15" customHeight="1" s="64">
      <c r="B26" s="70" t="inlineStr">
        <is>
          <t>Total Discounts</t>
        </is>
      </c>
      <c r="C26" s="102">
        <f>C24+C25</f>
        <v/>
      </c>
      <c r="D26" s="102">
        <f>D24+D25</f>
        <v/>
      </c>
      <c r="E26" s="102">
        <f>E24+E25</f>
        <v/>
      </c>
      <c r="F26" s="102">
        <f>F24+F25</f>
        <v/>
      </c>
      <c r="G26" s="102">
        <f>G24+G25</f>
        <v/>
      </c>
      <c r="H26" s="102">
        <f>H24+H25</f>
        <v/>
      </c>
      <c r="I26" s="102">
        <f>I24+I25</f>
        <v/>
      </c>
      <c r="J26" s="102">
        <f>J24+J25</f>
        <v/>
      </c>
      <c r="K26" s="102">
        <f>K24+K25</f>
        <v/>
      </c>
      <c r="L26" s="102">
        <f>L24+L25</f>
        <v/>
      </c>
      <c r="M26" s="102">
        <f>M24+M25</f>
        <v/>
      </c>
      <c r="N26" s="102">
        <f>N24+N25</f>
        <v/>
      </c>
      <c r="O26" s="102">
        <f>SUM(C26:N26)</f>
        <v/>
      </c>
      <c r="P26" s="102">
        <f>P24+P25</f>
        <v/>
      </c>
      <c r="Q26" s="102">
        <f>Q24+Q25</f>
        <v/>
      </c>
      <c r="R26" s="102">
        <f>R24+R25</f>
        <v/>
      </c>
      <c r="S26" s="102">
        <f>S24+S25</f>
        <v/>
      </c>
      <c r="T26" s="102">
        <f>T24+T25</f>
        <v/>
      </c>
      <c r="U26" s="102">
        <f>U24+U25</f>
        <v/>
      </c>
      <c r="V26" s="102">
        <f>V24+V25</f>
        <v/>
      </c>
      <c r="W26" s="102">
        <f>W24+W25</f>
        <v/>
      </c>
      <c r="X26" s="102">
        <f>X24+X25</f>
        <v/>
      </c>
      <c r="Y26" s="102">
        <f>Y24+Y25</f>
        <v/>
      </c>
      <c r="Z26" s="102">
        <f>Z24+Z25</f>
        <v/>
      </c>
      <c r="AA26" s="102">
        <f>AA24+AA25</f>
        <v/>
      </c>
      <c r="AB26" s="102">
        <f>SUM(P26:AA26)</f>
        <v/>
      </c>
      <c r="AC26" s="102">
        <f>AC24+AC25</f>
        <v/>
      </c>
      <c r="AD26" s="102">
        <f>AD24+AD25</f>
        <v/>
      </c>
      <c r="AE26" s="102">
        <f>AE24+AE25</f>
        <v/>
      </c>
      <c r="AF26" s="102">
        <f>AF24+AF25</f>
        <v/>
      </c>
      <c r="AG26" s="102">
        <f>AG24+AG25</f>
        <v/>
      </c>
      <c r="AH26" s="102">
        <f>AH24+AH25</f>
        <v/>
      </c>
      <c r="AI26" s="102">
        <f>AI24+AI25</f>
        <v/>
      </c>
      <c r="AJ26" s="102">
        <f>AJ24+AJ25</f>
        <v/>
      </c>
      <c r="AK26" s="102">
        <f>AK24+AK25</f>
        <v/>
      </c>
      <c r="AL26" s="102">
        <f>AL24+AL25</f>
        <v/>
      </c>
      <c r="AM26" s="102">
        <f>AM24+AM25</f>
        <v/>
      </c>
      <c r="AN26" s="102">
        <f>AN24+AN25</f>
        <v/>
      </c>
      <c r="AO26" s="102">
        <f>SUM(AC26:AN26)</f>
        <v/>
      </c>
    </row>
    <row r="27"/>
    <row r="28" ht="15" customHeight="1" s="64">
      <c r="B28" s="80" t="inlineStr">
        <is>
          <t>Service Charge (10%)</t>
        </is>
      </c>
      <c r="C28" s="111">
        <f>(C21+C26)*Assumptions!C26</f>
        <v/>
      </c>
      <c r="D28" s="111">
        <f>(D21+D26)*Assumptions!C26</f>
        <v/>
      </c>
      <c r="E28" s="111">
        <f>(E21+E26)*Assumptions!C26</f>
        <v/>
      </c>
      <c r="F28" s="111">
        <f>(F21+F26)*Assumptions!C26</f>
        <v/>
      </c>
      <c r="G28" s="111">
        <f>(G21+G26)*Assumptions!C26</f>
        <v/>
      </c>
      <c r="H28" s="111">
        <f>(H21+H26)*Assumptions!C26</f>
        <v/>
      </c>
      <c r="I28" s="111">
        <f>(I21+I26)*Assumptions!C26</f>
        <v/>
      </c>
      <c r="J28" s="111">
        <f>(J21+J26)*Assumptions!C26</f>
        <v/>
      </c>
      <c r="K28" s="111">
        <f>(K21+K26)*Assumptions!C26</f>
        <v/>
      </c>
      <c r="L28" s="111">
        <f>(L21+L26)*Assumptions!C26</f>
        <v/>
      </c>
      <c r="M28" s="111">
        <f>(M21+M26)*Assumptions!C26</f>
        <v/>
      </c>
      <c r="N28" s="111">
        <f>(N21+N26)*Assumptions!C26</f>
        <v/>
      </c>
      <c r="O28" s="102">
        <f>SUM(C28:N28)</f>
        <v/>
      </c>
      <c r="P28" s="111">
        <f>(P21+P26)*Assumptions!C26</f>
        <v/>
      </c>
      <c r="Q28" s="111">
        <f>(Q21+Q26)*Assumptions!C26</f>
        <v/>
      </c>
      <c r="R28" s="111">
        <f>(R21+R26)*Assumptions!C26</f>
        <v/>
      </c>
      <c r="S28" s="111">
        <f>(S21+S26)*Assumptions!C26</f>
        <v/>
      </c>
      <c r="T28" s="111">
        <f>(T21+T26)*Assumptions!C26</f>
        <v/>
      </c>
      <c r="U28" s="111">
        <f>(U21+U26)*Assumptions!C26</f>
        <v/>
      </c>
      <c r="V28" s="111">
        <f>(V21+V26)*Assumptions!C26</f>
        <v/>
      </c>
      <c r="W28" s="111">
        <f>(W21+W26)*Assumptions!C26</f>
        <v/>
      </c>
      <c r="X28" s="111">
        <f>(X21+X26)*Assumptions!C26</f>
        <v/>
      </c>
      <c r="Y28" s="111">
        <f>(Y21+Y26)*Assumptions!C26</f>
        <v/>
      </c>
      <c r="Z28" s="111">
        <f>(Z21+Z26)*Assumptions!C26</f>
        <v/>
      </c>
      <c r="AA28" s="111">
        <f>(AA21+AA26)*Assumptions!C26</f>
        <v/>
      </c>
      <c r="AB28" s="102">
        <f>SUM(P28:AA28)</f>
        <v/>
      </c>
      <c r="AC28" s="111">
        <f>(AC21+AC26)*Assumptions!C26</f>
        <v/>
      </c>
      <c r="AD28" s="111">
        <f>(AD21+AD26)*Assumptions!C26</f>
        <v/>
      </c>
      <c r="AE28" s="111">
        <f>(AE21+AE26)*Assumptions!C26</f>
        <v/>
      </c>
      <c r="AF28" s="111">
        <f>(AF21+AF26)*Assumptions!C26</f>
        <v/>
      </c>
      <c r="AG28" s="111">
        <f>(AG21+AG26)*Assumptions!C26</f>
        <v/>
      </c>
      <c r="AH28" s="111">
        <f>(AH21+AH26)*Assumptions!C26</f>
        <v/>
      </c>
      <c r="AI28" s="111">
        <f>(AI21+AI26)*Assumptions!C26</f>
        <v/>
      </c>
      <c r="AJ28" s="111">
        <f>(AJ21+AJ26)*Assumptions!C26</f>
        <v/>
      </c>
      <c r="AK28" s="111">
        <f>(AK21+AK26)*Assumptions!C26</f>
        <v/>
      </c>
      <c r="AL28" s="111">
        <f>(AL21+AL26)*Assumptions!C26</f>
        <v/>
      </c>
      <c r="AM28" s="111">
        <f>(AM21+AM26)*Assumptions!C26</f>
        <v/>
      </c>
      <c r="AN28" s="111">
        <f>(AN21+AN26)*Assumptions!C26</f>
        <v/>
      </c>
      <c r="AO28" s="102">
        <f>SUM(AC28:AN28)</f>
        <v/>
      </c>
    </row>
    <row r="29"/>
    <row r="30" ht="15" customHeight="1" s="64">
      <c r="B30" s="106" t="inlineStr">
        <is>
          <t>NET REVENUE</t>
        </is>
      </c>
      <c r="C30" s="107">
        <f>C21+C26+C28</f>
        <v/>
      </c>
      <c r="D30" s="107">
        <f>D21+D26+D28</f>
        <v/>
      </c>
      <c r="E30" s="107">
        <f>E21+E26+E28</f>
        <v/>
      </c>
      <c r="F30" s="107">
        <f>F21+F26+F28</f>
        <v/>
      </c>
      <c r="G30" s="107">
        <f>G21+G26+G28</f>
        <v/>
      </c>
      <c r="H30" s="107">
        <f>H21+H26+H28</f>
        <v/>
      </c>
      <c r="I30" s="107">
        <f>I21+I26+I28</f>
        <v/>
      </c>
      <c r="J30" s="107">
        <f>J21+J26+J28</f>
        <v/>
      </c>
      <c r="K30" s="107">
        <f>K21+K26+K28</f>
        <v/>
      </c>
      <c r="L30" s="107">
        <f>L21+L26+L28</f>
        <v/>
      </c>
      <c r="M30" s="107">
        <f>M21+M26+M28</f>
        <v/>
      </c>
      <c r="N30" s="107">
        <f>N21+N26+N28</f>
        <v/>
      </c>
      <c r="O30" s="102">
        <f>SUM(C30:N30)</f>
        <v/>
      </c>
      <c r="P30" s="107">
        <f>P21+P26+P28</f>
        <v/>
      </c>
      <c r="Q30" s="107">
        <f>Q21+Q26+Q28</f>
        <v/>
      </c>
      <c r="R30" s="107">
        <f>R21+R26+R28</f>
        <v/>
      </c>
      <c r="S30" s="107">
        <f>S21+S26+S28</f>
        <v/>
      </c>
      <c r="T30" s="107">
        <f>T21+T26+T28</f>
        <v/>
      </c>
      <c r="U30" s="107">
        <f>U21+U26+U28</f>
        <v/>
      </c>
      <c r="V30" s="107">
        <f>V21+V26+V28</f>
        <v/>
      </c>
      <c r="W30" s="107">
        <f>W21+W26+W28</f>
        <v/>
      </c>
      <c r="X30" s="107">
        <f>X21+X26+X28</f>
        <v/>
      </c>
      <c r="Y30" s="107">
        <f>Y21+Y26+Y28</f>
        <v/>
      </c>
      <c r="Z30" s="107">
        <f>Z21+Z26+Z28</f>
        <v/>
      </c>
      <c r="AA30" s="107">
        <f>AA21+AA26+AA28</f>
        <v/>
      </c>
      <c r="AB30" s="102">
        <f>SUM(P30:AA30)</f>
        <v/>
      </c>
      <c r="AC30" s="107">
        <f>AC21+AC26+AC28</f>
        <v/>
      </c>
      <c r="AD30" s="107">
        <f>AD21+AD26+AD28</f>
        <v/>
      </c>
      <c r="AE30" s="107">
        <f>AE21+AE26+AE28</f>
        <v/>
      </c>
      <c r="AF30" s="107">
        <f>AF21+AF26+AF28</f>
        <v/>
      </c>
      <c r="AG30" s="107">
        <f>AG21+AG26+AG28</f>
        <v/>
      </c>
      <c r="AH30" s="107">
        <f>AH21+AH26+AH28</f>
        <v/>
      </c>
      <c r="AI30" s="107">
        <f>AI21+AI26+AI28</f>
        <v/>
      </c>
      <c r="AJ30" s="107">
        <f>AJ21+AJ26+AJ28</f>
        <v/>
      </c>
      <c r="AK30" s="107">
        <f>AK21+AK26+AK28</f>
        <v/>
      </c>
      <c r="AL30" s="107">
        <f>AL21+AL26+AL28</f>
        <v/>
      </c>
      <c r="AM30" s="107">
        <f>AM21+AM26+AM28</f>
        <v/>
      </c>
      <c r="AN30" s="107">
        <f>AN21+AN26+AN28</f>
        <v/>
      </c>
      <c r="AO30" s="102">
        <f>SUM(AC30:AN30)</f>
        <v/>
      </c>
    </row>
    <row r="31"/>
    <row r="32" ht="15" customHeight="1" s="64">
      <c r="B32" s="78" t="inlineStr">
        <is>
          <t>REVENUE SPLIT (for COGS)</t>
        </is>
      </c>
    </row>
    <row r="33" ht="15" customHeight="1" s="64">
      <c r="B33" s="80" t="inlineStr">
        <is>
          <t>Food Revenue (Dinner)</t>
        </is>
      </c>
      <c r="C33" s="111">
        <f>IF(C21=0,0,(C13/C21)*(C21+C26)*Assumptions!C20)</f>
        <v/>
      </c>
      <c r="D33" s="111">
        <f>IF(D21=0,0,(D13/D21)*(D21+D26)*Assumptions!C20)</f>
        <v/>
      </c>
      <c r="E33" s="111">
        <f>IF(E21=0,0,(E13/E21)*(E21+E26)*Assumptions!C20)</f>
        <v/>
      </c>
      <c r="F33" s="111">
        <f>IF(F21=0,0,(F13/F21)*(F21+F26)*Assumptions!C20)</f>
        <v/>
      </c>
      <c r="G33" s="111">
        <f>IF(G21=0,0,(G13/G21)*(G21+G26)*Assumptions!C20)</f>
        <v/>
      </c>
      <c r="H33" s="111">
        <f>IF(H21=0,0,(H13/H21)*(H21+H26)*Assumptions!C20)</f>
        <v/>
      </c>
      <c r="I33" s="111">
        <f>IF(I21=0,0,(I13/I21)*(I21+I26)*Assumptions!C20)</f>
        <v/>
      </c>
      <c r="J33" s="111">
        <f>IF(J21=0,0,(J13/J21)*(J21+J26)*Assumptions!C20)</f>
        <v/>
      </c>
      <c r="K33" s="111">
        <f>IF(K21=0,0,(K13/K21)*(K21+K26)*Assumptions!C20)</f>
        <v/>
      </c>
      <c r="L33" s="111">
        <f>IF(L21=0,0,(L13/L21)*(L21+L26)*Assumptions!C20)</f>
        <v/>
      </c>
      <c r="M33" s="111">
        <f>IF(M21=0,0,(M13/M21)*(M21+M26)*Assumptions!C20)</f>
        <v/>
      </c>
      <c r="N33" s="111">
        <f>IF(N21=0,0,(N13/N21)*(N21+N26)*Assumptions!C20)</f>
        <v/>
      </c>
      <c r="O33" s="102">
        <f>SUM(C33:N33)</f>
        <v/>
      </c>
      <c r="P33" s="111">
        <f>IF(P21=0,0,(P13/P21)*(P21+P26)*Assumptions!C20)</f>
        <v/>
      </c>
      <c r="Q33" s="111">
        <f>IF(Q21=0,0,(Q13/Q21)*(Q21+Q26)*Assumptions!C20)</f>
        <v/>
      </c>
      <c r="R33" s="111">
        <f>IF(R21=0,0,(R13/R21)*(R21+R26)*Assumptions!C20)</f>
        <v/>
      </c>
      <c r="S33" s="111">
        <f>IF(S21=0,0,(S13/S21)*(S21+S26)*Assumptions!C20)</f>
        <v/>
      </c>
      <c r="T33" s="111">
        <f>IF(T21=0,0,(T13/T21)*(T21+T26)*Assumptions!C20)</f>
        <v/>
      </c>
      <c r="U33" s="111">
        <f>IF(U21=0,0,(U13/U21)*(U21+U26)*Assumptions!C20)</f>
        <v/>
      </c>
      <c r="V33" s="111">
        <f>IF(V21=0,0,(V13/V21)*(V21+V26)*Assumptions!C20)</f>
        <v/>
      </c>
      <c r="W33" s="111">
        <f>IF(W21=0,0,(W13/W21)*(W21+W26)*Assumptions!C20)</f>
        <v/>
      </c>
      <c r="X33" s="111">
        <f>IF(X21=0,0,(X13/X21)*(X21+X26)*Assumptions!C20)</f>
        <v/>
      </c>
      <c r="Y33" s="111">
        <f>IF(Y21=0,0,(Y13/Y21)*(Y21+Y26)*Assumptions!C20)</f>
        <v/>
      </c>
      <c r="Z33" s="111">
        <f>IF(Z21=0,0,(Z13/Z21)*(Z21+Z26)*Assumptions!C20)</f>
        <v/>
      </c>
      <c r="AA33" s="111">
        <f>IF(AA21=0,0,(AA13/AA21)*(AA21+AA26)*Assumptions!C20)</f>
        <v/>
      </c>
      <c r="AB33" s="102">
        <f>SUM(P33:AA33)</f>
        <v/>
      </c>
      <c r="AC33" s="111">
        <f>IF(AC21=0,0,(AC13/AC21)*(AC21+AC26)*Assumptions!C20)</f>
        <v/>
      </c>
      <c r="AD33" s="111">
        <f>IF(AD21=0,0,(AD13/AD21)*(AD21+AD26)*Assumptions!C20)</f>
        <v/>
      </c>
      <c r="AE33" s="111">
        <f>IF(AE21=0,0,(AE13/AE21)*(AE21+AE26)*Assumptions!C20)</f>
        <v/>
      </c>
      <c r="AF33" s="111">
        <f>IF(AF21=0,0,(AF13/AF21)*(AF21+AF26)*Assumptions!C20)</f>
        <v/>
      </c>
      <c r="AG33" s="111">
        <f>IF(AG21=0,0,(AG13/AG21)*(AG21+AG26)*Assumptions!C20)</f>
        <v/>
      </c>
      <c r="AH33" s="111">
        <f>IF(AH21=0,0,(AH13/AH21)*(AH21+AH26)*Assumptions!C20)</f>
        <v/>
      </c>
      <c r="AI33" s="111">
        <f>IF(AI21=0,0,(AI13/AI21)*(AI21+AI26)*Assumptions!C20)</f>
        <v/>
      </c>
      <c r="AJ33" s="111">
        <f>IF(AJ21=0,0,(AJ13/AJ21)*(AJ21+AJ26)*Assumptions!C20)</f>
        <v/>
      </c>
      <c r="AK33" s="111">
        <f>IF(AK21=0,0,(AK13/AK21)*(AK21+AK26)*Assumptions!C20)</f>
        <v/>
      </c>
      <c r="AL33" s="111">
        <f>IF(AL21=0,0,(AL13/AL21)*(AL21+AL26)*Assumptions!C20)</f>
        <v/>
      </c>
      <c r="AM33" s="111">
        <f>IF(AM21=0,0,(AM13/AM21)*(AM21+AM26)*Assumptions!C20)</f>
        <v/>
      </c>
      <c r="AN33" s="111">
        <f>IF(AN21=0,0,(AN13/AN21)*(AN21+AN26)*Assumptions!C20)</f>
        <v/>
      </c>
      <c r="AO33" s="102">
        <f>SUM(AC33:AN33)</f>
        <v/>
      </c>
    </row>
    <row r="34" ht="15" customHeight="1" s="64">
      <c r="B34" s="80" t="inlineStr">
        <is>
          <t>Food Revenue (Lunch)</t>
        </is>
      </c>
      <c r="C34" s="111">
        <f>IF(C21=0,0,(C19/C21)*(C21+C26)*Assumptions!C25)</f>
        <v/>
      </c>
      <c r="D34" s="111">
        <f>IF(D21=0,0,(D19/D21)*(D21+D26)*Assumptions!C25)</f>
        <v/>
      </c>
      <c r="E34" s="111">
        <f>IF(E21=0,0,(E19/E21)*(E21+E26)*Assumptions!C25)</f>
        <v/>
      </c>
      <c r="F34" s="111">
        <f>IF(F21=0,0,(F19/F21)*(F21+F26)*Assumptions!C25)</f>
        <v/>
      </c>
      <c r="G34" s="111">
        <f>IF(G21=0,0,(G19/G21)*(G21+G26)*Assumptions!C25)</f>
        <v/>
      </c>
      <c r="H34" s="111">
        <f>IF(H21=0,0,(H19/H21)*(H21+H26)*Assumptions!C25)</f>
        <v/>
      </c>
      <c r="I34" s="111">
        <f>IF(I21=0,0,(I19/I21)*(I21+I26)*Assumptions!C25)</f>
        <v/>
      </c>
      <c r="J34" s="111">
        <f>IF(J21=0,0,(J19/J21)*(J21+J26)*Assumptions!C25)</f>
        <v/>
      </c>
      <c r="K34" s="111">
        <f>IF(K21=0,0,(K19/K21)*(K21+K26)*Assumptions!C25)</f>
        <v/>
      </c>
      <c r="L34" s="111">
        <f>IF(L21=0,0,(L19/L21)*(L21+L26)*Assumptions!C25)</f>
        <v/>
      </c>
      <c r="M34" s="111">
        <f>IF(M21=0,0,(M19/M21)*(M21+M26)*Assumptions!C25)</f>
        <v/>
      </c>
      <c r="N34" s="111">
        <f>IF(N21=0,0,(N19/N21)*(N21+N26)*Assumptions!C25)</f>
        <v/>
      </c>
      <c r="O34" s="102">
        <f>SUM(C34:N34)</f>
        <v/>
      </c>
      <c r="P34" s="111">
        <f>IF(P21=0,0,(P19/P21)*(P21+P26)*Assumptions!C25)</f>
        <v/>
      </c>
      <c r="Q34" s="111">
        <f>IF(Q21=0,0,(Q19/Q21)*(Q21+Q26)*Assumptions!C25)</f>
        <v/>
      </c>
      <c r="R34" s="111">
        <f>IF(R21=0,0,(R19/R21)*(R21+R26)*Assumptions!C25)</f>
        <v/>
      </c>
      <c r="S34" s="111">
        <f>IF(S21=0,0,(S19/S21)*(S21+S26)*Assumptions!C25)</f>
        <v/>
      </c>
      <c r="T34" s="111">
        <f>IF(T21=0,0,(T19/T21)*(T21+T26)*Assumptions!C25)</f>
        <v/>
      </c>
      <c r="U34" s="111">
        <f>IF(U21=0,0,(U19/U21)*(U21+U26)*Assumptions!C25)</f>
        <v/>
      </c>
      <c r="V34" s="111">
        <f>IF(V21=0,0,(V19/V21)*(V21+V26)*Assumptions!C25)</f>
        <v/>
      </c>
      <c r="W34" s="111">
        <f>IF(W21=0,0,(W19/W21)*(W21+W26)*Assumptions!C25)</f>
        <v/>
      </c>
      <c r="X34" s="111">
        <f>IF(X21=0,0,(X19/X21)*(X21+X26)*Assumptions!C25)</f>
        <v/>
      </c>
      <c r="Y34" s="111">
        <f>IF(Y21=0,0,(Y19/Y21)*(Y21+Y26)*Assumptions!C25)</f>
        <v/>
      </c>
      <c r="Z34" s="111">
        <f>IF(Z21=0,0,(Z19/Z21)*(Z21+Z26)*Assumptions!C25)</f>
        <v/>
      </c>
      <c r="AA34" s="111">
        <f>IF(AA21=0,0,(AA19/AA21)*(AA21+AA26)*Assumptions!C25)</f>
        <v/>
      </c>
      <c r="AB34" s="102">
        <f>SUM(P34:AA34)</f>
        <v/>
      </c>
      <c r="AC34" s="111">
        <f>IF(AC21=0,0,(AC19/AC21)*(AC21+AC26)*Assumptions!C25)</f>
        <v/>
      </c>
      <c r="AD34" s="111">
        <f>IF(AD21=0,0,(AD19/AD21)*(AD21+AD26)*Assumptions!C25)</f>
        <v/>
      </c>
      <c r="AE34" s="111">
        <f>IF(AE21=0,0,(AE19/AE21)*(AE21+AE26)*Assumptions!C25)</f>
        <v/>
      </c>
      <c r="AF34" s="111">
        <f>IF(AF21=0,0,(AF19/AF21)*(AF21+AF26)*Assumptions!C25)</f>
        <v/>
      </c>
      <c r="AG34" s="111">
        <f>IF(AG21=0,0,(AG19/AG21)*(AG21+AG26)*Assumptions!C25)</f>
        <v/>
      </c>
      <c r="AH34" s="111">
        <f>IF(AH21=0,0,(AH19/AH21)*(AH21+AH26)*Assumptions!C25)</f>
        <v/>
      </c>
      <c r="AI34" s="111">
        <f>IF(AI21=0,0,(AI19/AI21)*(AI21+AI26)*Assumptions!C25)</f>
        <v/>
      </c>
      <c r="AJ34" s="111">
        <f>IF(AJ21=0,0,(AJ19/AJ21)*(AJ21+AJ26)*Assumptions!C25)</f>
        <v/>
      </c>
      <c r="AK34" s="111">
        <f>IF(AK21=0,0,(AK19/AK21)*(AK21+AK26)*Assumptions!C25)</f>
        <v/>
      </c>
      <c r="AL34" s="111">
        <f>IF(AL21=0,0,(AL19/AL21)*(AL21+AL26)*Assumptions!C25)</f>
        <v/>
      </c>
      <c r="AM34" s="111">
        <f>IF(AM21=0,0,(AM19/AM21)*(AM21+AM26)*Assumptions!C25)</f>
        <v/>
      </c>
      <c r="AN34" s="111">
        <f>IF(AN21=0,0,(AN19/AN21)*(AN21+AN26)*Assumptions!C25)</f>
        <v/>
      </c>
      <c r="AO34" s="102">
        <f>SUM(AC34:AN34)</f>
        <v/>
      </c>
    </row>
    <row r="35" ht="15" customHeight="1" s="64">
      <c r="B35" s="70" t="inlineStr">
        <is>
          <t>Total Food Revenue</t>
        </is>
      </c>
      <c r="C35" s="102">
        <f>C33+C34</f>
        <v/>
      </c>
      <c r="D35" s="102">
        <f>D33+D34</f>
        <v/>
      </c>
      <c r="E35" s="102">
        <f>E33+E34</f>
        <v/>
      </c>
      <c r="F35" s="102">
        <f>F33+F34</f>
        <v/>
      </c>
      <c r="G35" s="102">
        <f>G33+G34</f>
        <v/>
      </c>
      <c r="H35" s="102">
        <f>H33+H34</f>
        <v/>
      </c>
      <c r="I35" s="102">
        <f>I33+I34</f>
        <v/>
      </c>
      <c r="J35" s="102">
        <f>J33+J34</f>
        <v/>
      </c>
      <c r="K35" s="102">
        <f>K33+K34</f>
        <v/>
      </c>
      <c r="L35" s="102">
        <f>L33+L34</f>
        <v/>
      </c>
      <c r="M35" s="102">
        <f>M33+M34</f>
        <v/>
      </c>
      <c r="N35" s="102">
        <f>N33+N34</f>
        <v/>
      </c>
      <c r="O35" s="102">
        <f>SUM(C35:N35)</f>
        <v/>
      </c>
      <c r="P35" s="102">
        <f>P33+P34</f>
        <v/>
      </c>
      <c r="Q35" s="102">
        <f>Q33+Q34</f>
        <v/>
      </c>
      <c r="R35" s="102">
        <f>R33+R34</f>
        <v/>
      </c>
      <c r="S35" s="102">
        <f>S33+S34</f>
        <v/>
      </c>
      <c r="T35" s="102">
        <f>T33+T34</f>
        <v/>
      </c>
      <c r="U35" s="102">
        <f>U33+U34</f>
        <v/>
      </c>
      <c r="V35" s="102">
        <f>V33+V34</f>
        <v/>
      </c>
      <c r="W35" s="102">
        <f>W33+W34</f>
        <v/>
      </c>
      <c r="X35" s="102">
        <f>X33+X34</f>
        <v/>
      </c>
      <c r="Y35" s="102">
        <f>Y33+Y34</f>
        <v/>
      </c>
      <c r="Z35" s="102">
        <f>Z33+Z34</f>
        <v/>
      </c>
      <c r="AA35" s="102">
        <f>AA33+AA34</f>
        <v/>
      </c>
      <c r="AB35" s="102">
        <f>SUM(P35:AA35)</f>
        <v/>
      </c>
      <c r="AC35" s="102">
        <f>AC33+AC34</f>
        <v/>
      </c>
      <c r="AD35" s="102">
        <f>AD33+AD34</f>
        <v/>
      </c>
      <c r="AE35" s="102">
        <f>AE33+AE34</f>
        <v/>
      </c>
      <c r="AF35" s="102">
        <f>AF33+AF34</f>
        <v/>
      </c>
      <c r="AG35" s="102">
        <f>AG33+AG34</f>
        <v/>
      </c>
      <c r="AH35" s="102">
        <f>AH33+AH34</f>
        <v/>
      </c>
      <c r="AI35" s="102">
        <f>AI33+AI34</f>
        <v/>
      </c>
      <c r="AJ35" s="102">
        <f>AJ33+AJ34</f>
        <v/>
      </c>
      <c r="AK35" s="102">
        <f>AK33+AK34</f>
        <v/>
      </c>
      <c r="AL35" s="102">
        <f>AL33+AL34</f>
        <v/>
      </c>
      <c r="AM35" s="102">
        <f>AM33+AM34</f>
        <v/>
      </c>
      <c r="AN35" s="102">
        <f>AN33+AN34</f>
        <v/>
      </c>
      <c r="AO35" s="102">
        <f>SUM(AC35:AN35)</f>
        <v/>
      </c>
    </row>
    <row r="36" ht="15" customHeight="1" s="64">
      <c r="B36" s="80" t="inlineStr">
        <is>
          <t>Wine Revenue (Dinner)</t>
        </is>
      </c>
      <c r="C36" s="111">
        <f>IF(C21=0,0,(C13/C21)*(C21+C26)*(1-Assumptions!C20))</f>
        <v/>
      </c>
      <c r="D36" s="111">
        <f>IF(D21=0,0,(D13/D21)*(D21+D26)*(1-Assumptions!C20))</f>
        <v/>
      </c>
      <c r="E36" s="111">
        <f>IF(E21=0,0,(E13/E21)*(E21+E26)*(1-Assumptions!C20))</f>
        <v/>
      </c>
      <c r="F36" s="111">
        <f>IF(F21=0,0,(F13/F21)*(F21+F26)*(1-Assumptions!C20))</f>
        <v/>
      </c>
      <c r="G36" s="111">
        <f>IF(G21=0,0,(G13/G21)*(G21+G26)*(1-Assumptions!C20))</f>
        <v/>
      </c>
      <c r="H36" s="111">
        <f>IF(H21=0,0,(H13/H21)*(H21+H26)*(1-Assumptions!C20))</f>
        <v/>
      </c>
      <c r="I36" s="111">
        <f>IF(I21=0,0,(I13/I21)*(I21+I26)*(1-Assumptions!C20))</f>
        <v/>
      </c>
      <c r="J36" s="111">
        <f>IF(J21=0,0,(J13/J21)*(J21+J26)*(1-Assumptions!C20))</f>
        <v/>
      </c>
      <c r="K36" s="111">
        <f>IF(K21=0,0,(K13/K21)*(K21+K26)*(1-Assumptions!C20))</f>
        <v/>
      </c>
      <c r="L36" s="111">
        <f>IF(L21=0,0,(L13/L21)*(L21+L26)*(1-Assumptions!C20))</f>
        <v/>
      </c>
      <c r="M36" s="111">
        <f>IF(M21=0,0,(M13/M21)*(M21+M26)*(1-Assumptions!C20))</f>
        <v/>
      </c>
      <c r="N36" s="111">
        <f>IF(N21=0,0,(N13/N21)*(N21+N26)*(1-Assumptions!C20))</f>
        <v/>
      </c>
      <c r="O36" s="102">
        <f>SUM(C36:N36)</f>
        <v/>
      </c>
      <c r="P36" s="111">
        <f>IF(P21=0,0,(P13/P21)*(P21+P26)*(1-Assumptions!C20))</f>
        <v/>
      </c>
      <c r="Q36" s="111">
        <f>IF(Q21=0,0,(Q13/Q21)*(Q21+Q26)*(1-Assumptions!C20))</f>
        <v/>
      </c>
      <c r="R36" s="111">
        <f>IF(R21=0,0,(R13/R21)*(R21+R26)*(1-Assumptions!C20))</f>
        <v/>
      </c>
      <c r="S36" s="111">
        <f>IF(S21=0,0,(S13/S21)*(S21+S26)*(1-Assumptions!C20))</f>
        <v/>
      </c>
      <c r="T36" s="111">
        <f>IF(T21=0,0,(T13/T21)*(T21+T26)*(1-Assumptions!C20))</f>
        <v/>
      </c>
      <c r="U36" s="111">
        <f>IF(U21=0,0,(U13/U21)*(U21+U26)*(1-Assumptions!C20))</f>
        <v/>
      </c>
      <c r="V36" s="111">
        <f>IF(V21=0,0,(V13/V21)*(V21+V26)*(1-Assumptions!C20))</f>
        <v/>
      </c>
      <c r="W36" s="111">
        <f>IF(W21=0,0,(W13/W21)*(W21+W26)*(1-Assumptions!C20))</f>
        <v/>
      </c>
      <c r="X36" s="111">
        <f>IF(X21=0,0,(X13/X21)*(X21+X26)*(1-Assumptions!C20))</f>
        <v/>
      </c>
      <c r="Y36" s="111">
        <f>IF(Y21=0,0,(Y13/Y21)*(Y21+Y26)*(1-Assumptions!C20))</f>
        <v/>
      </c>
      <c r="Z36" s="111">
        <f>IF(Z21=0,0,(Z13/Z21)*(Z21+Z26)*(1-Assumptions!C20))</f>
        <v/>
      </c>
      <c r="AA36" s="111">
        <f>IF(AA21=0,0,(AA13/AA21)*(AA21+AA26)*(1-Assumptions!C20))</f>
        <v/>
      </c>
      <c r="AB36" s="102">
        <f>SUM(P36:AA36)</f>
        <v/>
      </c>
      <c r="AC36" s="111">
        <f>IF(AC21=0,0,(AC13/AC21)*(AC21+AC26)*(1-Assumptions!C20))</f>
        <v/>
      </c>
      <c r="AD36" s="111">
        <f>IF(AD21=0,0,(AD13/AD21)*(AD21+AD26)*(1-Assumptions!C20))</f>
        <v/>
      </c>
      <c r="AE36" s="111">
        <f>IF(AE21=0,0,(AE13/AE21)*(AE21+AE26)*(1-Assumptions!C20))</f>
        <v/>
      </c>
      <c r="AF36" s="111">
        <f>IF(AF21=0,0,(AF13/AF21)*(AF21+AF26)*(1-Assumptions!C20))</f>
        <v/>
      </c>
      <c r="AG36" s="111">
        <f>IF(AG21=0,0,(AG13/AG21)*(AG21+AG26)*(1-Assumptions!C20))</f>
        <v/>
      </c>
      <c r="AH36" s="111">
        <f>IF(AH21=0,0,(AH13/AH21)*(AH21+AH26)*(1-Assumptions!C20))</f>
        <v/>
      </c>
      <c r="AI36" s="111">
        <f>IF(AI21=0,0,(AI13/AI21)*(AI21+AI26)*(1-Assumptions!C20))</f>
        <v/>
      </c>
      <c r="AJ36" s="111">
        <f>IF(AJ21=0,0,(AJ13/AJ21)*(AJ21+AJ26)*(1-Assumptions!C20))</f>
        <v/>
      </c>
      <c r="AK36" s="111">
        <f>IF(AK21=0,0,(AK13/AK21)*(AK21+AK26)*(1-Assumptions!C20))</f>
        <v/>
      </c>
      <c r="AL36" s="111">
        <f>IF(AL21=0,0,(AL13/AL21)*(AL21+AL26)*(1-Assumptions!C20))</f>
        <v/>
      </c>
      <c r="AM36" s="111">
        <f>IF(AM21=0,0,(AM13/AM21)*(AM21+AM26)*(1-Assumptions!C20))</f>
        <v/>
      </c>
      <c r="AN36" s="111">
        <f>IF(AN21=0,0,(AN13/AN21)*(AN21+AN26)*(1-Assumptions!C20))</f>
        <v/>
      </c>
      <c r="AO36" s="102">
        <f>SUM(AC36:AN36)</f>
        <v/>
      </c>
    </row>
    <row r="37" ht="15" customHeight="1" s="64">
      <c r="B37" s="80" t="inlineStr">
        <is>
          <t>Wine Revenue (Lunch)</t>
        </is>
      </c>
      <c r="C37" s="111">
        <f>IF(C21=0,0,(C19/C21)*(C21+C26)*(1-Assumptions!C25))</f>
        <v/>
      </c>
      <c r="D37" s="111">
        <f>IF(D21=0,0,(D19/D21)*(D21+D26)*(1-Assumptions!C25))</f>
        <v/>
      </c>
      <c r="E37" s="111">
        <f>IF(E21=0,0,(E19/E21)*(E21+E26)*(1-Assumptions!C25))</f>
        <v/>
      </c>
      <c r="F37" s="111">
        <f>IF(F21=0,0,(F19/F21)*(F21+F26)*(1-Assumptions!C25))</f>
        <v/>
      </c>
      <c r="G37" s="111">
        <f>IF(G21=0,0,(G19/G21)*(G21+G26)*(1-Assumptions!C25))</f>
        <v/>
      </c>
      <c r="H37" s="111">
        <f>IF(H21=0,0,(H19/H21)*(H21+H26)*(1-Assumptions!C25))</f>
        <v/>
      </c>
      <c r="I37" s="111">
        <f>IF(I21=0,0,(I19/I21)*(I21+I26)*(1-Assumptions!C25))</f>
        <v/>
      </c>
      <c r="J37" s="111">
        <f>IF(J21=0,0,(J19/J21)*(J21+J26)*(1-Assumptions!C25))</f>
        <v/>
      </c>
      <c r="K37" s="111">
        <f>IF(K21=0,0,(K19/K21)*(K21+K26)*(1-Assumptions!C25))</f>
        <v/>
      </c>
      <c r="L37" s="111">
        <f>IF(L21=0,0,(L19/L21)*(L21+L26)*(1-Assumptions!C25))</f>
        <v/>
      </c>
      <c r="M37" s="111">
        <f>IF(M21=0,0,(M19/M21)*(M21+M26)*(1-Assumptions!C25))</f>
        <v/>
      </c>
      <c r="N37" s="111">
        <f>IF(N21=0,0,(N19/N21)*(N21+N26)*(1-Assumptions!C25))</f>
        <v/>
      </c>
      <c r="O37" s="102">
        <f>SUM(C37:N37)</f>
        <v/>
      </c>
      <c r="P37" s="111">
        <f>IF(P21=0,0,(P19/P21)*(P21+P26)*(1-Assumptions!C25))</f>
        <v/>
      </c>
      <c r="Q37" s="111">
        <f>IF(Q21=0,0,(Q19/Q21)*(Q21+Q26)*(1-Assumptions!C25))</f>
        <v/>
      </c>
      <c r="R37" s="111">
        <f>IF(R21=0,0,(R19/R21)*(R21+R26)*(1-Assumptions!C25))</f>
        <v/>
      </c>
      <c r="S37" s="111">
        <f>IF(S21=0,0,(S19/S21)*(S21+S26)*(1-Assumptions!C25))</f>
        <v/>
      </c>
      <c r="T37" s="111">
        <f>IF(T21=0,0,(T19/T21)*(T21+T26)*(1-Assumptions!C25))</f>
        <v/>
      </c>
      <c r="U37" s="111">
        <f>IF(U21=0,0,(U19/U21)*(U21+U26)*(1-Assumptions!C25))</f>
        <v/>
      </c>
      <c r="V37" s="111">
        <f>IF(V21=0,0,(V19/V21)*(V21+V26)*(1-Assumptions!C25))</f>
        <v/>
      </c>
      <c r="W37" s="111">
        <f>IF(W21=0,0,(W19/W21)*(W21+W26)*(1-Assumptions!C25))</f>
        <v/>
      </c>
      <c r="X37" s="111">
        <f>IF(X21=0,0,(X19/X21)*(X21+X26)*(1-Assumptions!C25))</f>
        <v/>
      </c>
      <c r="Y37" s="111">
        <f>IF(Y21=0,0,(Y19/Y21)*(Y21+Y26)*(1-Assumptions!C25))</f>
        <v/>
      </c>
      <c r="Z37" s="111">
        <f>IF(Z21=0,0,(Z19/Z21)*(Z21+Z26)*(1-Assumptions!C25))</f>
        <v/>
      </c>
      <c r="AA37" s="111">
        <f>IF(AA21=0,0,(AA19/AA21)*(AA21+AA26)*(1-Assumptions!C25))</f>
        <v/>
      </c>
      <c r="AB37" s="102">
        <f>SUM(P37:AA37)</f>
        <v/>
      </c>
      <c r="AC37" s="111">
        <f>IF(AC21=0,0,(AC19/AC21)*(AC21+AC26)*(1-Assumptions!C25))</f>
        <v/>
      </c>
      <c r="AD37" s="111">
        <f>IF(AD21=0,0,(AD19/AD21)*(AD21+AD26)*(1-Assumptions!C25))</f>
        <v/>
      </c>
      <c r="AE37" s="111">
        <f>IF(AE21=0,0,(AE19/AE21)*(AE21+AE26)*(1-Assumptions!C25))</f>
        <v/>
      </c>
      <c r="AF37" s="111">
        <f>IF(AF21=0,0,(AF19/AF21)*(AF21+AF26)*(1-Assumptions!C25))</f>
        <v/>
      </c>
      <c r="AG37" s="111">
        <f>IF(AG21=0,0,(AG19/AG21)*(AG21+AG26)*(1-Assumptions!C25))</f>
        <v/>
      </c>
      <c r="AH37" s="111">
        <f>IF(AH21=0,0,(AH19/AH21)*(AH21+AH26)*(1-Assumptions!C25))</f>
        <v/>
      </c>
      <c r="AI37" s="111">
        <f>IF(AI21=0,0,(AI19/AI21)*(AI21+AI26)*(1-Assumptions!C25))</f>
        <v/>
      </c>
      <c r="AJ37" s="111">
        <f>IF(AJ21=0,0,(AJ19/AJ21)*(AJ21+AJ26)*(1-Assumptions!C25))</f>
        <v/>
      </c>
      <c r="AK37" s="111">
        <f>IF(AK21=0,0,(AK19/AK21)*(AK21+AK26)*(1-Assumptions!C25))</f>
        <v/>
      </c>
      <c r="AL37" s="111">
        <f>IF(AL21=0,0,(AL19/AL21)*(AL21+AL26)*(1-Assumptions!C25))</f>
        <v/>
      </c>
      <c r="AM37" s="111">
        <f>IF(AM21=0,0,(AM19/AM21)*(AM21+AM26)*(1-Assumptions!C25))</f>
        <v/>
      </c>
      <c r="AN37" s="111">
        <f>IF(AN21=0,0,(AN19/AN21)*(AN21+AN26)*(1-Assumptions!C25))</f>
        <v/>
      </c>
      <c r="AO37" s="102">
        <f>SUM(AC37:AN37)</f>
        <v/>
      </c>
    </row>
    <row r="38" ht="15" customHeight="1" s="64">
      <c r="B38" s="70" t="inlineStr">
        <is>
          <t>Total Wine / Beverage Revenue</t>
        </is>
      </c>
      <c r="C38" s="102">
        <f>C36+C37</f>
        <v/>
      </c>
      <c r="D38" s="102">
        <f>D36+D37</f>
        <v/>
      </c>
      <c r="E38" s="102">
        <f>E36+E37</f>
        <v/>
      </c>
      <c r="F38" s="102">
        <f>F36+F37</f>
        <v/>
      </c>
      <c r="G38" s="102">
        <f>G36+G37</f>
        <v/>
      </c>
      <c r="H38" s="102">
        <f>H36+H37</f>
        <v/>
      </c>
      <c r="I38" s="102">
        <f>I36+I37</f>
        <v/>
      </c>
      <c r="J38" s="102">
        <f>J36+J37</f>
        <v/>
      </c>
      <c r="K38" s="102">
        <f>K36+K37</f>
        <v/>
      </c>
      <c r="L38" s="102">
        <f>L36+L37</f>
        <v/>
      </c>
      <c r="M38" s="102">
        <f>M36+M37</f>
        <v/>
      </c>
      <c r="N38" s="102">
        <f>N36+N37</f>
        <v/>
      </c>
      <c r="O38" s="102">
        <f>SUM(C38:N38)</f>
        <v/>
      </c>
      <c r="P38" s="102">
        <f>P36+P37</f>
        <v/>
      </c>
      <c r="Q38" s="102">
        <f>Q36+Q37</f>
        <v/>
      </c>
      <c r="R38" s="102">
        <f>R36+R37</f>
        <v/>
      </c>
      <c r="S38" s="102">
        <f>S36+S37</f>
        <v/>
      </c>
      <c r="T38" s="102">
        <f>T36+T37</f>
        <v/>
      </c>
      <c r="U38" s="102">
        <f>U36+U37</f>
        <v/>
      </c>
      <c r="V38" s="102">
        <f>V36+V37</f>
        <v/>
      </c>
      <c r="W38" s="102">
        <f>W36+W37</f>
        <v/>
      </c>
      <c r="X38" s="102">
        <f>X36+X37</f>
        <v/>
      </c>
      <c r="Y38" s="102">
        <f>Y36+Y37</f>
        <v/>
      </c>
      <c r="Z38" s="102">
        <f>Z36+Z37</f>
        <v/>
      </c>
      <c r="AA38" s="102">
        <f>AA36+AA37</f>
        <v/>
      </c>
      <c r="AB38" s="102">
        <f>SUM(P38:AA38)</f>
        <v/>
      </c>
      <c r="AC38" s="102">
        <f>AC36+AC37</f>
        <v/>
      </c>
      <c r="AD38" s="102">
        <f>AD36+AD37</f>
        <v/>
      </c>
      <c r="AE38" s="102">
        <f>AE36+AE37</f>
        <v/>
      </c>
      <c r="AF38" s="102">
        <f>AF36+AF37</f>
        <v/>
      </c>
      <c r="AG38" s="102">
        <f>AG36+AG37</f>
        <v/>
      </c>
      <c r="AH38" s="102">
        <f>AH36+AH37</f>
        <v/>
      </c>
      <c r="AI38" s="102">
        <f>AI36+AI37</f>
        <v/>
      </c>
      <c r="AJ38" s="102">
        <f>AJ36+AJ37</f>
        <v/>
      </c>
      <c r="AK38" s="102">
        <f>AK36+AK37</f>
        <v/>
      </c>
      <c r="AL38" s="102">
        <f>AL36+AL37</f>
        <v/>
      </c>
      <c r="AM38" s="102">
        <f>AM36+AM37</f>
        <v/>
      </c>
      <c r="AN38" s="102">
        <f>AN36+AN37</f>
        <v/>
      </c>
      <c r="AO38" s="102">
        <f>SUM(AC38:AN38)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AO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38" customWidth="1" style="63" min="2" max="2"/>
    <col width="13" customWidth="1" style="63" min="3" max="49"/>
  </cols>
  <sheetData>
    <row r="1" ht="17.25" customHeight="1" s="64">
      <c r="B1" s="76" t="inlineStr">
        <is>
          <t>COST OF GOODS SOLD</t>
        </is>
      </c>
    </row>
    <row r="2"/>
    <row r="3" ht="15" customHeight="1" s="64">
      <c r="C3" s="94" t="inlineStr">
        <is>
          <t>M1</t>
        </is>
      </c>
      <c r="D3" s="94" t="inlineStr">
        <is>
          <t>M2</t>
        </is>
      </c>
      <c r="E3" s="94" t="inlineStr">
        <is>
          <t>M3</t>
        </is>
      </c>
      <c r="F3" s="94" t="inlineStr">
        <is>
          <t>M4</t>
        </is>
      </c>
      <c r="G3" s="94" t="inlineStr">
        <is>
          <t>M5</t>
        </is>
      </c>
      <c r="H3" s="94" t="inlineStr">
        <is>
          <t>M6</t>
        </is>
      </c>
      <c r="I3" s="94" t="inlineStr">
        <is>
          <t>M7</t>
        </is>
      </c>
      <c r="J3" s="94" t="inlineStr">
        <is>
          <t>M8</t>
        </is>
      </c>
      <c r="K3" s="94" t="inlineStr">
        <is>
          <t>M9</t>
        </is>
      </c>
      <c r="L3" s="94" t="inlineStr">
        <is>
          <t>M10</t>
        </is>
      </c>
      <c r="M3" s="94" t="inlineStr">
        <is>
          <t>M11</t>
        </is>
      </c>
      <c r="N3" s="94" t="inlineStr">
        <is>
          <t>M12</t>
        </is>
      </c>
      <c r="O3" s="94" t="inlineStr">
        <is>
          <t>Year 1</t>
        </is>
      </c>
      <c r="P3" s="94" t="inlineStr">
        <is>
          <t>M13</t>
        </is>
      </c>
      <c r="Q3" s="94" t="inlineStr">
        <is>
          <t>M14</t>
        </is>
      </c>
      <c r="R3" s="94" t="inlineStr">
        <is>
          <t>M15</t>
        </is>
      </c>
      <c r="S3" s="94" t="inlineStr">
        <is>
          <t>M16</t>
        </is>
      </c>
      <c r="T3" s="94" t="inlineStr">
        <is>
          <t>M17</t>
        </is>
      </c>
      <c r="U3" s="94" t="inlineStr">
        <is>
          <t>M18</t>
        </is>
      </c>
      <c r="V3" s="94" t="inlineStr">
        <is>
          <t>M19</t>
        </is>
      </c>
      <c r="W3" s="94" t="inlineStr">
        <is>
          <t>M20</t>
        </is>
      </c>
      <c r="X3" s="94" t="inlineStr">
        <is>
          <t>M21</t>
        </is>
      </c>
      <c r="Y3" s="94" t="inlineStr">
        <is>
          <t>M22</t>
        </is>
      </c>
      <c r="Z3" s="94" t="inlineStr">
        <is>
          <t>M23</t>
        </is>
      </c>
      <c r="AA3" s="94" t="inlineStr">
        <is>
          <t>M24</t>
        </is>
      </c>
      <c r="AB3" s="94" t="inlineStr">
        <is>
          <t>Year 2</t>
        </is>
      </c>
      <c r="AC3" s="94" t="inlineStr">
        <is>
          <t>M25</t>
        </is>
      </c>
      <c r="AD3" s="94" t="inlineStr">
        <is>
          <t>M26</t>
        </is>
      </c>
      <c r="AE3" s="94" t="inlineStr">
        <is>
          <t>M27</t>
        </is>
      </c>
      <c r="AF3" s="94" t="inlineStr">
        <is>
          <t>M28</t>
        </is>
      </c>
      <c r="AG3" s="94" t="inlineStr">
        <is>
          <t>M29</t>
        </is>
      </c>
      <c r="AH3" s="94" t="inlineStr">
        <is>
          <t>M30</t>
        </is>
      </c>
      <c r="AI3" s="94" t="inlineStr">
        <is>
          <t>M31</t>
        </is>
      </c>
      <c r="AJ3" s="94" t="inlineStr">
        <is>
          <t>M32</t>
        </is>
      </c>
      <c r="AK3" s="94" t="inlineStr">
        <is>
          <t>M33</t>
        </is>
      </c>
      <c r="AL3" s="94" t="inlineStr">
        <is>
          <t>M34</t>
        </is>
      </c>
      <c r="AM3" s="94" t="inlineStr">
        <is>
          <t>M35</t>
        </is>
      </c>
      <c r="AN3" s="94" t="inlineStr">
        <is>
          <t>M36</t>
        </is>
      </c>
      <c r="AO3" s="94" t="inlineStr">
        <is>
          <t>Year 3</t>
        </is>
      </c>
    </row>
    <row r="4"/>
    <row r="5" ht="15" customHeight="1" s="64">
      <c r="B5" s="80" t="inlineStr">
        <is>
          <t>Food COGS (30%)</t>
        </is>
      </c>
      <c r="C5" s="112">
        <f>Revenue!C35*Assumptions!C45</f>
        <v/>
      </c>
      <c r="D5" s="112">
        <f>Revenue!D35*Assumptions!C45</f>
        <v/>
      </c>
      <c r="E5" s="112">
        <f>Revenue!E35*Assumptions!C45</f>
        <v/>
      </c>
      <c r="F5" s="112">
        <f>Revenue!F35*Assumptions!C45</f>
        <v/>
      </c>
      <c r="G5" s="112">
        <f>Revenue!G35*Assumptions!C45</f>
        <v/>
      </c>
      <c r="H5" s="112">
        <f>Revenue!H35*Assumptions!C45</f>
        <v/>
      </c>
      <c r="I5" s="112">
        <f>Revenue!I35*Assumptions!C45</f>
        <v/>
      </c>
      <c r="J5" s="112">
        <f>Revenue!J35*Assumptions!C45</f>
        <v/>
      </c>
      <c r="K5" s="112">
        <f>Revenue!K35*Assumptions!C45</f>
        <v/>
      </c>
      <c r="L5" s="112">
        <f>Revenue!L35*Assumptions!C45</f>
        <v/>
      </c>
      <c r="M5" s="112">
        <f>Revenue!M35*Assumptions!C45</f>
        <v/>
      </c>
      <c r="N5" s="112">
        <f>Revenue!N35*Assumptions!C45</f>
        <v/>
      </c>
      <c r="O5" s="102">
        <f>SUM(C5:N5)</f>
        <v/>
      </c>
      <c r="P5" s="112">
        <f>Revenue!P35*Assumptions!C45</f>
        <v/>
      </c>
      <c r="Q5" s="112">
        <f>Revenue!Q35*Assumptions!C45</f>
        <v/>
      </c>
      <c r="R5" s="112">
        <f>Revenue!R35*Assumptions!C45</f>
        <v/>
      </c>
      <c r="S5" s="112">
        <f>Revenue!S35*Assumptions!C45</f>
        <v/>
      </c>
      <c r="T5" s="112">
        <f>Revenue!T35*Assumptions!C45</f>
        <v/>
      </c>
      <c r="U5" s="112">
        <f>Revenue!U35*Assumptions!C45</f>
        <v/>
      </c>
      <c r="V5" s="112">
        <f>Revenue!V35*Assumptions!C45</f>
        <v/>
      </c>
      <c r="W5" s="112">
        <f>Revenue!W35*Assumptions!C45</f>
        <v/>
      </c>
      <c r="X5" s="112">
        <f>Revenue!X35*Assumptions!C45</f>
        <v/>
      </c>
      <c r="Y5" s="112">
        <f>Revenue!Y35*Assumptions!C45</f>
        <v/>
      </c>
      <c r="Z5" s="112">
        <f>Revenue!Z35*Assumptions!C45</f>
        <v/>
      </c>
      <c r="AA5" s="112">
        <f>Revenue!AA35*Assumptions!C45</f>
        <v/>
      </c>
      <c r="AB5" s="102">
        <f>SUM(P5:AA5)</f>
        <v/>
      </c>
      <c r="AC5" s="112">
        <f>Revenue!AC35*Assumptions!C45</f>
        <v/>
      </c>
      <c r="AD5" s="112">
        <f>Revenue!AD35*Assumptions!C45</f>
        <v/>
      </c>
      <c r="AE5" s="112">
        <f>Revenue!AE35*Assumptions!C45</f>
        <v/>
      </c>
      <c r="AF5" s="112">
        <f>Revenue!AF35*Assumptions!C45</f>
        <v/>
      </c>
      <c r="AG5" s="112">
        <f>Revenue!AG35*Assumptions!C45</f>
        <v/>
      </c>
      <c r="AH5" s="112">
        <f>Revenue!AH35*Assumptions!C45</f>
        <v/>
      </c>
      <c r="AI5" s="112">
        <f>Revenue!AI35*Assumptions!C45</f>
        <v/>
      </c>
      <c r="AJ5" s="112">
        <f>Revenue!AJ35*Assumptions!C45</f>
        <v/>
      </c>
      <c r="AK5" s="112">
        <f>Revenue!AK35*Assumptions!C45</f>
        <v/>
      </c>
      <c r="AL5" s="112">
        <f>Revenue!AL35*Assumptions!C45</f>
        <v/>
      </c>
      <c r="AM5" s="112">
        <f>Revenue!AM35*Assumptions!C45</f>
        <v/>
      </c>
      <c r="AN5" s="112">
        <f>Revenue!AN35*Assumptions!C45</f>
        <v/>
      </c>
      <c r="AO5" s="102">
        <f>SUM(AC5:AN5)</f>
        <v/>
      </c>
    </row>
    <row r="6" ht="15" customHeight="1" s="64">
      <c r="B6" s="80" t="inlineStr">
        <is>
          <t>Wine / Beverage COGS (50%)</t>
        </is>
      </c>
      <c r="C6" s="112">
        <f>Revenue!C38*Assumptions!C46</f>
        <v/>
      </c>
      <c r="D6" s="112">
        <f>Revenue!D38*Assumptions!C46</f>
        <v/>
      </c>
      <c r="E6" s="112">
        <f>Revenue!E38*Assumptions!C46</f>
        <v/>
      </c>
      <c r="F6" s="112">
        <f>Revenue!F38*Assumptions!C46</f>
        <v/>
      </c>
      <c r="G6" s="112">
        <f>Revenue!G38*Assumptions!C46</f>
        <v/>
      </c>
      <c r="H6" s="112">
        <f>Revenue!H38*Assumptions!C46</f>
        <v/>
      </c>
      <c r="I6" s="112">
        <f>Revenue!I38*Assumptions!C46</f>
        <v/>
      </c>
      <c r="J6" s="112">
        <f>Revenue!J38*Assumptions!C46</f>
        <v/>
      </c>
      <c r="K6" s="112">
        <f>Revenue!K38*Assumptions!C46</f>
        <v/>
      </c>
      <c r="L6" s="112">
        <f>Revenue!L38*Assumptions!C46</f>
        <v/>
      </c>
      <c r="M6" s="112">
        <f>Revenue!M38*Assumptions!C46</f>
        <v/>
      </c>
      <c r="N6" s="112">
        <f>Revenue!N38*Assumptions!C46</f>
        <v/>
      </c>
      <c r="O6" s="102">
        <f>SUM(C6:N6)</f>
        <v/>
      </c>
      <c r="P6" s="112">
        <f>Revenue!P38*Assumptions!C46</f>
        <v/>
      </c>
      <c r="Q6" s="112">
        <f>Revenue!Q38*Assumptions!C46</f>
        <v/>
      </c>
      <c r="R6" s="112">
        <f>Revenue!R38*Assumptions!C46</f>
        <v/>
      </c>
      <c r="S6" s="112">
        <f>Revenue!S38*Assumptions!C46</f>
        <v/>
      </c>
      <c r="T6" s="112">
        <f>Revenue!T38*Assumptions!C46</f>
        <v/>
      </c>
      <c r="U6" s="112">
        <f>Revenue!U38*Assumptions!C46</f>
        <v/>
      </c>
      <c r="V6" s="112">
        <f>Revenue!V38*Assumptions!C46</f>
        <v/>
      </c>
      <c r="W6" s="112">
        <f>Revenue!W38*Assumptions!C46</f>
        <v/>
      </c>
      <c r="X6" s="112">
        <f>Revenue!X38*Assumptions!C46</f>
        <v/>
      </c>
      <c r="Y6" s="112">
        <f>Revenue!Y38*Assumptions!C46</f>
        <v/>
      </c>
      <c r="Z6" s="112">
        <f>Revenue!Z38*Assumptions!C46</f>
        <v/>
      </c>
      <c r="AA6" s="112">
        <f>Revenue!AA38*Assumptions!C46</f>
        <v/>
      </c>
      <c r="AB6" s="102">
        <f>SUM(P6:AA6)</f>
        <v/>
      </c>
      <c r="AC6" s="112">
        <f>Revenue!AC38*Assumptions!C46</f>
        <v/>
      </c>
      <c r="AD6" s="112">
        <f>Revenue!AD38*Assumptions!C46</f>
        <v/>
      </c>
      <c r="AE6" s="112">
        <f>Revenue!AE38*Assumptions!C46</f>
        <v/>
      </c>
      <c r="AF6" s="112">
        <f>Revenue!AF38*Assumptions!C46</f>
        <v/>
      </c>
      <c r="AG6" s="112">
        <f>Revenue!AG38*Assumptions!C46</f>
        <v/>
      </c>
      <c r="AH6" s="112">
        <f>Revenue!AH38*Assumptions!C46</f>
        <v/>
      </c>
      <c r="AI6" s="112">
        <f>Revenue!AI38*Assumptions!C46</f>
        <v/>
      </c>
      <c r="AJ6" s="112">
        <f>Revenue!AJ38*Assumptions!C46</f>
        <v/>
      </c>
      <c r="AK6" s="112">
        <f>Revenue!AK38*Assumptions!C46</f>
        <v/>
      </c>
      <c r="AL6" s="112">
        <f>Revenue!AL38*Assumptions!C46</f>
        <v/>
      </c>
      <c r="AM6" s="112">
        <f>Revenue!AM38*Assumptions!C46</f>
        <v/>
      </c>
      <c r="AN6" s="112">
        <f>Revenue!AN38*Assumptions!C46</f>
        <v/>
      </c>
      <c r="AO6" s="102">
        <f>SUM(AC6:AN6)</f>
        <v/>
      </c>
    </row>
    <row r="7"/>
    <row r="8" ht="15" customHeight="1" s="64">
      <c r="B8" s="89" t="inlineStr">
        <is>
          <t>TOTAL COGS</t>
        </is>
      </c>
      <c r="C8" s="103">
        <f>C5+C6</f>
        <v/>
      </c>
      <c r="D8" s="103">
        <f>D5+D6</f>
        <v/>
      </c>
      <c r="E8" s="103">
        <f>E5+E6</f>
        <v/>
      </c>
      <c r="F8" s="103">
        <f>F5+F6</f>
        <v/>
      </c>
      <c r="G8" s="103">
        <f>G5+G6</f>
        <v/>
      </c>
      <c r="H8" s="103">
        <f>H5+H6</f>
        <v/>
      </c>
      <c r="I8" s="103">
        <f>I5+I6</f>
        <v/>
      </c>
      <c r="J8" s="103">
        <f>J5+J6</f>
        <v/>
      </c>
      <c r="K8" s="103">
        <f>K5+K6</f>
        <v/>
      </c>
      <c r="L8" s="103">
        <f>L5+L6</f>
        <v/>
      </c>
      <c r="M8" s="103">
        <f>M5+M6</f>
        <v/>
      </c>
      <c r="N8" s="103">
        <f>N5+N6</f>
        <v/>
      </c>
      <c r="O8" s="102">
        <f>SUM(C8:N8)</f>
        <v/>
      </c>
      <c r="P8" s="103">
        <f>P5+P6</f>
        <v/>
      </c>
      <c r="Q8" s="103">
        <f>Q5+Q6</f>
        <v/>
      </c>
      <c r="R8" s="103">
        <f>R5+R6</f>
        <v/>
      </c>
      <c r="S8" s="103">
        <f>S5+S6</f>
        <v/>
      </c>
      <c r="T8" s="103">
        <f>T5+T6</f>
        <v/>
      </c>
      <c r="U8" s="103">
        <f>U5+U6</f>
        <v/>
      </c>
      <c r="V8" s="103">
        <f>V5+V6</f>
        <v/>
      </c>
      <c r="W8" s="103">
        <f>W5+W6</f>
        <v/>
      </c>
      <c r="X8" s="103">
        <f>X5+X6</f>
        <v/>
      </c>
      <c r="Y8" s="103">
        <f>Y5+Y6</f>
        <v/>
      </c>
      <c r="Z8" s="103">
        <f>Z5+Z6</f>
        <v/>
      </c>
      <c r="AA8" s="103">
        <f>AA5+AA6</f>
        <v/>
      </c>
      <c r="AB8" s="102">
        <f>SUM(P8:AA8)</f>
        <v/>
      </c>
      <c r="AC8" s="103">
        <f>AC5+AC6</f>
        <v/>
      </c>
      <c r="AD8" s="103">
        <f>AD5+AD6</f>
        <v/>
      </c>
      <c r="AE8" s="103">
        <f>AE5+AE6</f>
        <v/>
      </c>
      <c r="AF8" s="103">
        <f>AF5+AF6</f>
        <v/>
      </c>
      <c r="AG8" s="103">
        <f>AG5+AG6</f>
        <v/>
      </c>
      <c r="AH8" s="103">
        <f>AH5+AH6</f>
        <v/>
      </c>
      <c r="AI8" s="103">
        <f>AI5+AI6</f>
        <v/>
      </c>
      <c r="AJ8" s="103">
        <f>AJ5+AJ6</f>
        <v/>
      </c>
      <c r="AK8" s="103">
        <f>AK5+AK6</f>
        <v/>
      </c>
      <c r="AL8" s="103">
        <f>AL5+AL6</f>
        <v/>
      </c>
      <c r="AM8" s="103">
        <f>AM5+AM6</f>
        <v/>
      </c>
      <c r="AN8" s="103">
        <f>AN5+AN6</f>
        <v/>
      </c>
      <c r="AO8" s="102">
        <f>SUM(AC8:AN8)</f>
        <v/>
      </c>
    </row>
    <row r="9"/>
    <row r="10" ht="15" customHeight="1" s="64">
      <c r="B10" s="108" t="inlineStr">
        <is>
          <t>GROSS PROFIT</t>
        </is>
      </c>
      <c r="C10" s="109">
        <f>Revenue!C30-C8</f>
        <v/>
      </c>
      <c r="D10" s="109">
        <f>Revenue!D30-D8</f>
        <v/>
      </c>
      <c r="E10" s="109">
        <f>Revenue!E30-E8</f>
        <v/>
      </c>
      <c r="F10" s="109">
        <f>Revenue!F30-F8</f>
        <v/>
      </c>
      <c r="G10" s="109">
        <f>Revenue!G30-G8</f>
        <v/>
      </c>
      <c r="H10" s="109">
        <f>Revenue!H30-H8</f>
        <v/>
      </c>
      <c r="I10" s="109">
        <f>Revenue!I30-I8</f>
        <v/>
      </c>
      <c r="J10" s="109">
        <f>Revenue!J30-J8</f>
        <v/>
      </c>
      <c r="K10" s="109">
        <f>Revenue!K30-K8</f>
        <v/>
      </c>
      <c r="L10" s="109">
        <f>Revenue!L30-L8</f>
        <v/>
      </c>
      <c r="M10" s="109">
        <f>Revenue!M30-M8</f>
        <v/>
      </c>
      <c r="N10" s="109">
        <f>Revenue!N30-N8</f>
        <v/>
      </c>
      <c r="O10" s="102">
        <f>SUM(C10:N10)</f>
        <v/>
      </c>
      <c r="P10" s="109">
        <f>Revenue!P30-P8</f>
        <v/>
      </c>
      <c r="Q10" s="109">
        <f>Revenue!Q30-Q8</f>
        <v/>
      </c>
      <c r="R10" s="109">
        <f>Revenue!R30-R8</f>
        <v/>
      </c>
      <c r="S10" s="109">
        <f>Revenue!S30-S8</f>
        <v/>
      </c>
      <c r="T10" s="109">
        <f>Revenue!T30-T8</f>
        <v/>
      </c>
      <c r="U10" s="109">
        <f>Revenue!U30-U8</f>
        <v/>
      </c>
      <c r="V10" s="109">
        <f>Revenue!V30-V8</f>
        <v/>
      </c>
      <c r="W10" s="109">
        <f>Revenue!W30-W8</f>
        <v/>
      </c>
      <c r="X10" s="109">
        <f>Revenue!X30-X8</f>
        <v/>
      </c>
      <c r="Y10" s="109">
        <f>Revenue!Y30-Y8</f>
        <v/>
      </c>
      <c r="Z10" s="109">
        <f>Revenue!Z30-Z8</f>
        <v/>
      </c>
      <c r="AA10" s="109">
        <f>Revenue!AA30-AA8</f>
        <v/>
      </c>
      <c r="AB10" s="102">
        <f>SUM(P10:AA10)</f>
        <v/>
      </c>
      <c r="AC10" s="109">
        <f>Revenue!AC30-AC8</f>
        <v/>
      </c>
      <c r="AD10" s="109">
        <f>Revenue!AD30-AD8</f>
        <v/>
      </c>
      <c r="AE10" s="109">
        <f>Revenue!AE30-AE8</f>
        <v/>
      </c>
      <c r="AF10" s="109">
        <f>Revenue!AF30-AF8</f>
        <v/>
      </c>
      <c r="AG10" s="109">
        <f>Revenue!AG30-AG8</f>
        <v/>
      </c>
      <c r="AH10" s="109">
        <f>Revenue!AH30-AH8</f>
        <v/>
      </c>
      <c r="AI10" s="109">
        <f>Revenue!AI30-AI8</f>
        <v/>
      </c>
      <c r="AJ10" s="109">
        <f>Revenue!AJ30-AJ8</f>
        <v/>
      </c>
      <c r="AK10" s="109">
        <f>Revenue!AK30-AK8</f>
        <v/>
      </c>
      <c r="AL10" s="109">
        <f>Revenue!AL30-AL8</f>
        <v/>
      </c>
      <c r="AM10" s="109">
        <f>Revenue!AM30-AM8</f>
        <v/>
      </c>
      <c r="AN10" s="109">
        <f>Revenue!AN30-AN8</f>
        <v/>
      </c>
      <c r="AO10" s="102">
        <f>SUM(AC10:AN10)</f>
        <v/>
      </c>
    </row>
    <row r="11" ht="15" customHeight="1" s="64">
      <c r="B11" s="113" t="inlineStr">
        <is>
          <t>Gross Margin %</t>
        </is>
      </c>
      <c r="C11" s="114">
        <f>IF(Revenue!C30=0,0,C10/Revenue!C30)</f>
        <v/>
      </c>
      <c r="D11" s="114">
        <f>IF(Revenue!D30=0,0,D10/Revenue!D30)</f>
        <v/>
      </c>
      <c r="E11" s="114">
        <f>IF(Revenue!E30=0,0,E10/Revenue!E30)</f>
        <v/>
      </c>
      <c r="F11" s="114">
        <f>IF(Revenue!F30=0,0,F10/Revenue!F30)</f>
        <v/>
      </c>
      <c r="G11" s="114">
        <f>IF(Revenue!G30=0,0,G10/Revenue!G30)</f>
        <v/>
      </c>
      <c r="H11" s="114">
        <f>IF(Revenue!H30=0,0,H10/Revenue!H30)</f>
        <v/>
      </c>
      <c r="I11" s="114">
        <f>IF(Revenue!I30=0,0,I10/Revenue!I30)</f>
        <v/>
      </c>
      <c r="J11" s="114">
        <f>IF(Revenue!J30=0,0,J10/Revenue!J30)</f>
        <v/>
      </c>
      <c r="K11" s="114">
        <f>IF(Revenue!K30=0,0,K10/Revenue!K30)</f>
        <v/>
      </c>
      <c r="L11" s="114">
        <f>IF(Revenue!L30=0,0,L10/Revenue!L30)</f>
        <v/>
      </c>
      <c r="M11" s="114">
        <f>IF(Revenue!M30=0,0,M10/Revenue!M30)</f>
        <v/>
      </c>
      <c r="N11" s="114">
        <f>IF(Revenue!N30=0,0,N10/Revenue!N30)</f>
        <v/>
      </c>
      <c r="O11" s="114">
        <f>IF(Revenue!O30=0,0,O10/Revenue!O30)</f>
        <v/>
      </c>
      <c r="P11" s="114">
        <f>IF(Revenue!P30=0,0,P10/Revenue!P30)</f>
        <v/>
      </c>
      <c r="Q11" s="114">
        <f>IF(Revenue!Q30=0,0,Q10/Revenue!Q30)</f>
        <v/>
      </c>
      <c r="R11" s="114">
        <f>IF(Revenue!R30=0,0,R10/Revenue!R30)</f>
        <v/>
      </c>
      <c r="S11" s="114">
        <f>IF(Revenue!S30=0,0,S10/Revenue!S30)</f>
        <v/>
      </c>
      <c r="T11" s="114">
        <f>IF(Revenue!T30=0,0,T10/Revenue!T30)</f>
        <v/>
      </c>
      <c r="U11" s="114">
        <f>IF(Revenue!U30=0,0,U10/Revenue!U30)</f>
        <v/>
      </c>
      <c r="V11" s="114">
        <f>IF(Revenue!V30=0,0,V10/Revenue!V30)</f>
        <v/>
      </c>
      <c r="W11" s="114">
        <f>IF(Revenue!W30=0,0,W10/Revenue!W30)</f>
        <v/>
      </c>
      <c r="X11" s="114">
        <f>IF(Revenue!X30=0,0,X10/Revenue!X30)</f>
        <v/>
      </c>
      <c r="Y11" s="114">
        <f>IF(Revenue!Y30=0,0,Y10/Revenue!Y30)</f>
        <v/>
      </c>
      <c r="Z11" s="114">
        <f>IF(Revenue!Z30=0,0,Z10/Revenue!Z30)</f>
        <v/>
      </c>
      <c r="AA11" s="114">
        <f>IF(Revenue!AA30=0,0,AA10/Revenue!AA30)</f>
        <v/>
      </c>
      <c r="AB11" s="114">
        <f>IF(Revenue!AB30=0,0,AB10/Revenue!AB30)</f>
        <v/>
      </c>
      <c r="AC11" s="114">
        <f>IF(Revenue!AC30=0,0,AC10/Revenue!AC30)</f>
        <v/>
      </c>
      <c r="AD11" s="114">
        <f>IF(Revenue!AD30=0,0,AD10/Revenue!AD30)</f>
        <v/>
      </c>
      <c r="AE11" s="114">
        <f>IF(Revenue!AE30=0,0,AE10/Revenue!AE30)</f>
        <v/>
      </c>
      <c r="AF11" s="114">
        <f>IF(Revenue!AF30=0,0,AF10/Revenue!AF30)</f>
        <v/>
      </c>
      <c r="AG11" s="114">
        <f>IF(Revenue!AG30=0,0,AG10/Revenue!AG30)</f>
        <v/>
      </c>
      <c r="AH11" s="114">
        <f>IF(Revenue!AH30=0,0,AH10/Revenue!AH30)</f>
        <v/>
      </c>
      <c r="AI11" s="114">
        <f>IF(Revenue!AI30=0,0,AI10/Revenue!AI30)</f>
        <v/>
      </c>
      <c r="AJ11" s="114">
        <f>IF(Revenue!AJ30=0,0,AJ10/Revenue!AJ30)</f>
        <v/>
      </c>
      <c r="AK11" s="114">
        <f>IF(Revenue!AK30=0,0,AK10/Revenue!AK30)</f>
        <v/>
      </c>
      <c r="AL11" s="114">
        <f>IF(Revenue!AL30=0,0,AL10/Revenue!AL30)</f>
        <v/>
      </c>
      <c r="AM11" s="114">
        <f>IF(Revenue!AM30=0,0,AM10/Revenue!AM30)</f>
        <v/>
      </c>
      <c r="AN11" s="114">
        <f>IF(Revenue!AN30=0,0,AN10/Revenue!AN30)</f>
        <v/>
      </c>
      <c r="AO11" s="114">
        <f>IF(Revenue!AO30=0,0,AO10/Revenue!AO30)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BF8F00"/>
    <outlinePr summaryBelow="1" summaryRight="1"/>
    <pageSetUpPr fitToPage="0"/>
  </sheetPr>
  <dimension ref="A1:AO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38" customWidth="1" style="63" min="2" max="2"/>
    <col width="13" customWidth="1" style="63" min="3" max="49"/>
  </cols>
  <sheetData>
    <row r="1" ht="17.25" customHeight="1" s="64">
      <c r="B1" s="76" t="inlineStr">
        <is>
          <t>OPERATING EXPENSES</t>
        </is>
      </c>
    </row>
    <row r="2"/>
    <row r="3" ht="15" customHeight="1" s="64">
      <c r="C3" s="94" t="inlineStr">
        <is>
          <t>M1</t>
        </is>
      </c>
      <c r="D3" s="94" t="inlineStr">
        <is>
          <t>M2</t>
        </is>
      </c>
      <c r="E3" s="94" t="inlineStr">
        <is>
          <t>M3</t>
        </is>
      </c>
      <c r="F3" s="94" t="inlineStr">
        <is>
          <t>M4</t>
        </is>
      </c>
      <c r="G3" s="94" t="inlineStr">
        <is>
          <t>M5</t>
        </is>
      </c>
      <c r="H3" s="94" t="inlineStr">
        <is>
          <t>M6</t>
        </is>
      </c>
      <c r="I3" s="94" t="inlineStr">
        <is>
          <t>M7</t>
        </is>
      </c>
      <c r="J3" s="94" t="inlineStr">
        <is>
          <t>M8</t>
        </is>
      </c>
      <c r="K3" s="94" t="inlineStr">
        <is>
          <t>M9</t>
        </is>
      </c>
      <c r="L3" s="94" t="inlineStr">
        <is>
          <t>M10</t>
        </is>
      </c>
      <c r="M3" s="94" t="inlineStr">
        <is>
          <t>M11</t>
        </is>
      </c>
      <c r="N3" s="94" t="inlineStr">
        <is>
          <t>M12</t>
        </is>
      </c>
      <c r="O3" s="94" t="inlineStr">
        <is>
          <t>Year 1</t>
        </is>
      </c>
      <c r="P3" s="94" t="inlineStr">
        <is>
          <t>M13</t>
        </is>
      </c>
      <c r="Q3" s="94" t="inlineStr">
        <is>
          <t>M14</t>
        </is>
      </c>
      <c r="R3" s="94" t="inlineStr">
        <is>
          <t>M15</t>
        </is>
      </c>
      <c r="S3" s="94" t="inlineStr">
        <is>
          <t>M16</t>
        </is>
      </c>
      <c r="T3" s="94" t="inlineStr">
        <is>
          <t>M17</t>
        </is>
      </c>
      <c r="U3" s="94" t="inlineStr">
        <is>
          <t>M18</t>
        </is>
      </c>
      <c r="V3" s="94" t="inlineStr">
        <is>
          <t>M19</t>
        </is>
      </c>
      <c r="W3" s="94" t="inlineStr">
        <is>
          <t>M20</t>
        </is>
      </c>
      <c r="X3" s="94" t="inlineStr">
        <is>
          <t>M21</t>
        </is>
      </c>
      <c r="Y3" s="94" t="inlineStr">
        <is>
          <t>M22</t>
        </is>
      </c>
      <c r="Z3" s="94" t="inlineStr">
        <is>
          <t>M23</t>
        </is>
      </c>
      <c r="AA3" s="94" t="inlineStr">
        <is>
          <t>M24</t>
        </is>
      </c>
      <c r="AB3" s="94" t="inlineStr">
        <is>
          <t>Year 2</t>
        </is>
      </c>
      <c r="AC3" s="94" t="inlineStr">
        <is>
          <t>M25</t>
        </is>
      </c>
      <c r="AD3" s="94" t="inlineStr">
        <is>
          <t>M26</t>
        </is>
      </c>
      <c r="AE3" s="94" t="inlineStr">
        <is>
          <t>M27</t>
        </is>
      </c>
      <c r="AF3" s="94" t="inlineStr">
        <is>
          <t>M28</t>
        </is>
      </c>
      <c r="AG3" s="94" t="inlineStr">
        <is>
          <t>M29</t>
        </is>
      </c>
      <c r="AH3" s="94" t="inlineStr">
        <is>
          <t>M30</t>
        </is>
      </c>
      <c r="AI3" s="94" t="inlineStr">
        <is>
          <t>M31</t>
        </is>
      </c>
      <c r="AJ3" s="94" t="inlineStr">
        <is>
          <t>M32</t>
        </is>
      </c>
      <c r="AK3" s="94" t="inlineStr">
        <is>
          <t>M33</t>
        </is>
      </c>
      <c r="AL3" s="94" t="inlineStr">
        <is>
          <t>M34</t>
        </is>
      </c>
      <c r="AM3" s="94" t="inlineStr">
        <is>
          <t>M35</t>
        </is>
      </c>
      <c r="AN3" s="94" t="inlineStr">
        <is>
          <t>M36</t>
        </is>
      </c>
      <c r="AO3" s="94" t="inlineStr">
        <is>
          <t>Year 3</t>
        </is>
      </c>
    </row>
    <row r="4" ht="15" customHeight="1" s="64">
      <c r="B4" s="82" t="inlineStr">
        <is>
          <t>OpEx Inflation Multiplier</t>
        </is>
      </c>
      <c r="C4" s="115" t="n">
        <v>1</v>
      </c>
      <c r="D4" s="115" t="n">
        <v>1</v>
      </c>
      <c r="E4" s="115" t="n">
        <v>1</v>
      </c>
      <c r="F4" s="115" t="n">
        <v>1</v>
      </c>
      <c r="G4" s="115" t="n">
        <v>1</v>
      </c>
      <c r="H4" s="115" t="n">
        <v>1</v>
      </c>
      <c r="I4" s="115" t="n">
        <v>1</v>
      </c>
      <c r="J4" s="115" t="n">
        <v>1</v>
      </c>
      <c r="K4" s="115" t="n">
        <v>1</v>
      </c>
      <c r="L4" s="115" t="n">
        <v>1</v>
      </c>
      <c r="M4" s="115" t="n">
        <v>1</v>
      </c>
      <c r="N4" s="115" t="n">
        <v>1</v>
      </c>
      <c r="P4" s="115">
        <f>1+Assumptions!H52</f>
        <v/>
      </c>
      <c r="Q4" s="115">
        <f>1+Assumptions!H52</f>
        <v/>
      </c>
      <c r="R4" s="115">
        <f>1+Assumptions!H52</f>
        <v/>
      </c>
      <c r="S4" s="115">
        <f>1+Assumptions!H52</f>
        <v/>
      </c>
      <c r="T4" s="115">
        <f>1+Assumptions!H52</f>
        <v/>
      </c>
      <c r="U4" s="115">
        <f>1+Assumptions!H52</f>
        <v/>
      </c>
      <c r="V4" s="115">
        <f>1+Assumptions!H52</f>
        <v/>
      </c>
      <c r="W4" s="115">
        <f>1+Assumptions!H52</f>
        <v/>
      </c>
      <c r="X4" s="115">
        <f>1+Assumptions!H52</f>
        <v/>
      </c>
      <c r="Y4" s="115">
        <f>1+Assumptions!H52</f>
        <v/>
      </c>
      <c r="Z4" s="115">
        <f>1+Assumptions!H52</f>
        <v/>
      </c>
      <c r="AA4" s="115">
        <f>1+Assumptions!H52</f>
        <v/>
      </c>
      <c r="AC4" s="115">
        <f>(1+Assumptions!H52)^2</f>
        <v/>
      </c>
      <c r="AD4" s="115">
        <f>(1+Assumptions!H52)^2</f>
        <v/>
      </c>
      <c r="AE4" s="115">
        <f>(1+Assumptions!H52)^2</f>
        <v/>
      </c>
      <c r="AF4" s="115">
        <f>(1+Assumptions!H52)^2</f>
        <v/>
      </c>
      <c r="AG4" s="115">
        <f>(1+Assumptions!H52)^2</f>
        <v/>
      </c>
      <c r="AH4" s="115">
        <f>(1+Assumptions!H52)^2</f>
        <v/>
      </c>
      <c r="AI4" s="115">
        <f>(1+Assumptions!H52)^2</f>
        <v/>
      </c>
      <c r="AJ4" s="115">
        <f>(1+Assumptions!H52)^2</f>
        <v/>
      </c>
      <c r="AK4" s="115">
        <f>(1+Assumptions!H52)^2</f>
        <v/>
      </c>
      <c r="AL4" s="115">
        <f>(1+Assumptions!H52)^2</f>
        <v/>
      </c>
      <c r="AM4" s="115">
        <f>(1+Assumptions!H52)^2</f>
        <v/>
      </c>
      <c r="AN4" s="115">
        <f>(1+Assumptions!H52)^2</f>
        <v/>
      </c>
    </row>
    <row r="5" ht="15" customHeight="1" s="64">
      <c r="B5" s="82" t="inlineStr">
        <is>
          <t>Salary Inflation Multiplier</t>
        </is>
      </c>
      <c r="C5" s="115" t="n">
        <v>1</v>
      </c>
      <c r="D5" s="115" t="n">
        <v>1</v>
      </c>
      <c r="E5" s="115" t="n">
        <v>1</v>
      </c>
      <c r="F5" s="115" t="n">
        <v>1</v>
      </c>
      <c r="G5" s="115" t="n">
        <v>1</v>
      </c>
      <c r="H5" s="115" t="n">
        <v>1</v>
      </c>
      <c r="I5" s="115" t="n">
        <v>1</v>
      </c>
      <c r="J5" s="115" t="n">
        <v>1</v>
      </c>
      <c r="K5" s="115" t="n">
        <v>1</v>
      </c>
      <c r="L5" s="115" t="n">
        <v>1</v>
      </c>
      <c r="M5" s="115" t="n">
        <v>1</v>
      </c>
      <c r="N5" s="115" t="n">
        <v>1</v>
      </c>
      <c r="P5" s="115">
        <f>1+Assumptions!H51</f>
        <v/>
      </c>
      <c r="Q5" s="115">
        <f>1+Assumptions!H51</f>
        <v/>
      </c>
      <c r="R5" s="115">
        <f>1+Assumptions!H51</f>
        <v/>
      </c>
      <c r="S5" s="115">
        <f>1+Assumptions!H51</f>
        <v/>
      </c>
      <c r="T5" s="115">
        <f>1+Assumptions!H51</f>
        <v/>
      </c>
      <c r="U5" s="115">
        <f>1+Assumptions!H51</f>
        <v/>
      </c>
      <c r="V5" s="115">
        <f>1+Assumptions!H51</f>
        <v/>
      </c>
      <c r="W5" s="115">
        <f>1+Assumptions!H51</f>
        <v/>
      </c>
      <c r="X5" s="115">
        <f>1+Assumptions!H51</f>
        <v/>
      </c>
      <c r="Y5" s="115">
        <f>1+Assumptions!H51</f>
        <v/>
      </c>
      <c r="Z5" s="115">
        <f>1+Assumptions!H51</f>
        <v/>
      </c>
      <c r="AA5" s="115">
        <f>1+Assumptions!H51</f>
        <v/>
      </c>
      <c r="AC5" s="115">
        <f>(1+Assumptions!H51)^2</f>
        <v/>
      </c>
      <c r="AD5" s="115">
        <f>(1+Assumptions!H51)^2</f>
        <v/>
      </c>
      <c r="AE5" s="115">
        <f>(1+Assumptions!H51)^2</f>
        <v/>
      </c>
      <c r="AF5" s="115">
        <f>(1+Assumptions!H51)^2</f>
        <v/>
      </c>
      <c r="AG5" s="115">
        <f>(1+Assumptions!H51)^2</f>
        <v/>
      </c>
      <c r="AH5" s="115">
        <f>(1+Assumptions!H51)^2</f>
        <v/>
      </c>
      <c r="AI5" s="115">
        <f>(1+Assumptions!H51)^2</f>
        <v/>
      </c>
      <c r="AJ5" s="115">
        <f>(1+Assumptions!H51)^2</f>
        <v/>
      </c>
      <c r="AK5" s="115">
        <f>(1+Assumptions!H51)^2</f>
        <v/>
      </c>
      <c r="AL5" s="115">
        <f>(1+Assumptions!H51)^2</f>
        <v/>
      </c>
      <c r="AM5" s="115">
        <f>(1+Assumptions!H51)^2</f>
        <v/>
      </c>
      <c r="AN5" s="115">
        <f>(1+Assumptions!H51)^2</f>
        <v/>
      </c>
    </row>
    <row r="6"/>
    <row r="7" ht="15" customHeight="1" s="64">
      <c r="B7" s="78" t="inlineStr">
        <is>
          <t>STAFF COSTS</t>
        </is>
      </c>
    </row>
    <row r="8" ht="15" customHeight="1" s="64">
      <c r="B8" s="80" t="inlineStr">
        <is>
          <t>Wages &amp; Salaries</t>
        </is>
      </c>
      <c r="C8" s="112">
        <f>Assumptions!H21*C5</f>
        <v/>
      </c>
      <c r="D8" s="112">
        <f>Assumptions!H21*D5</f>
        <v/>
      </c>
      <c r="E8" s="112">
        <f>Assumptions!H21*E5</f>
        <v/>
      </c>
      <c r="F8" s="112">
        <f>Assumptions!H21*F5</f>
        <v/>
      </c>
      <c r="G8" s="112">
        <f>Assumptions!H21*G5</f>
        <v/>
      </c>
      <c r="H8" s="112">
        <f>Assumptions!H21*H5</f>
        <v/>
      </c>
      <c r="I8" s="112">
        <f>Assumptions!H21*I5</f>
        <v/>
      </c>
      <c r="J8" s="112">
        <f>Assumptions!H21*J5</f>
        <v/>
      </c>
      <c r="K8" s="112">
        <f>Assumptions!H21*K5</f>
        <v/>
      </c>
      <c r="L8" s="112">
        <f>Assumptions!H21*L5</f>
        <v/>
      </c>
      <c r="M8" s="112">
        <f>Assumptions!H21*M5</f>
        <v/>
      </c>
      <c r="N8" s="112">
        <f>Assumptions!H21*N5</f>
        <v/>
      </c>
      <c r="O8" s="102">
        <f>SUM(C8:N8)</f>
        <v/>
      </c>
      <c r="P8" s="112">
        <f>Assumptions!H21*P5</f>
        <v/>
      </c>
      <c r="Q8" s="112">
        <f>Assumptions!H21*Q5</f>
        <v/>
      </c>
      <c r="R8" s="112">
        <f>Assumptions!H21*R5</f>
        <v/>
      </c>
      <c r="S8" s="112">
        <f>Assumptions!H21*S5</f>
        <v/>
      </c>
      <c r="T8" s="112">
        <f>Assumptions!H21*T5</f>
        <v/>
      </c>
      <c r="U8" s="112">
        <f>Assumptions!H21*U5</f>
        <v/>
      </c>
      <c r="V8" s="112">
        <f>Assumptions!H21*V5</f>
        <v/>
      </c>
      <c r="W8" s="112">
        <f>Assumptions!H21*W5</f>
        <v/>
      </c>
      <c r="X8" s="112">
        <f>Assumptions!H21*X5</f>
        <v/>
      </c>
      <c r="Y8" s="112">
        <f>Assumptions!H21*Y5</f>
        <v/>
      </c>
      <c r="Z8" s="112">
        <f>Assumptions!H21*Z5</f>
        <v/>
      </c>
      <c r="AA8" s="112">
        <f>Assumptions!H21*AA5</f>
        <v/>
      </c>
      <c r="AB8" s="102">
        <f>SUM(P8:AA8)</f>
        <v/>
      </c>
      <c r="AC8" s="112">
        <f>Assumptions!H21*AC5</f>
        <v/>
      </c>
      <c r="AD8" s="112">
        <f>Assumptions!H21*AD5</f>
        <v/>
      </c>
      <c r="AE8" s="112">
        <f>Assumptions!H21*AE5</f>
        <v/>
      </c>
      <c r="AF8" s="112">
        <f>Assumptions!H21*AF5</f>
        <v/>
      </c>
      <c r="AG8" s="112">
        <f>Assumptions!H21*AG5</f>
        <v/>
      </c>
      <c r="AH8" s="112">
        <f>Assumptions!H21*AH5</f>
        <v/>
      </c>
      <c r="AI8" s="112">
        <f>Assumptions!H21*AI5</f>
        <v/>
      </c>
      <c r="AJ8" s="112">
        <f>Assumptions!H21*AJ5</f>
        <v/>
      </c>
      <c r="AK8" s="112">
        <f>Assumptions!H21*AK5</f>
        <v/>
      </c>
      <c r="AL8" s="112">
        <f>Assumptions!H21*AL5</f>
        <v/>
      </c>
      <c r="AM8" s="112">
        <f>Assumptions!H21*AM5</f>
        <v/>
      </c>
      <c r="AN8" s="112">
        <f>Assumptions!H21*AN5</f>
        <v/>
      </c>
      <c r="AO8" s="102">
        <f>SUM(AC8:AN8)</f>
        <v/>
      </c>
    </row>
    <row r="9" ht="15" customHeight="1" s="64">
      <c r="B9" s="80" t="inlineStr">
        <is>
          <t>MPF — Employer Contribution</t>
        </is>
      </c>
      <c r="C9" s="112">
        <f>(Assumptions!H21*Assumptions!H22)*C5</f>
        <v/>
      </c>
      <c r="D9" s="112">
        <f>(Assumptions!H21*Assumptions!H22)*D5</f>
        <v/>
      </c>
      <c r="E9" s="112">
        <f>(Assumptions!H21*Assumptions!H22)*E5</f>
        <v/>
      </c>
      <c r="F9" s="112">
        <f>(Assumptions!H21*Assumptions!H22)*F5</f>
        <v/>
      </c>
      <c r="G9" s="112">
        <f>(Assumptions!H21*Assumptions!H22)*G5</f>
        <v/>
      </c>
      <c r="H9" s="112">
        <f>(Assumptions!H21*Assumptions!H22)*H5</f>
        <v/>
      </c>
      <c r="I9" s="112">
        <f>(Assumptions!H21*Assumptions!H22)*I5</f>
        <v/>
      </c>
      <c r="J9" s="112">
        <f>(Assumptions!H21*Assumptions!H22)*J5</f>
        <v/>
      </c>
      <c r="K9" s="112">
        <f>(Assumptions!H21*Assumptions!H22)*K5</f>
        <v/>
      </c>
      <c r="L9" s="112">
        <f>(Assumptions!H21*Assumptions!H22)*L5</f>
        <v/>
      </c>
      <c r="M9" s="112">
        <f>(Assumptions!H21*Assumptions!H22)*M5</f>
        <v/>
      </c>
      <c r="N9" s="112">
        <f>(Assumptions!H21*Assumptions!H22)*N5</f>
        <v/>
      </c>
      <c r="O9" s="102">
        <f>SUM(C9:N9)</f>
        <v/>
      </c>
      <c r="P9" s="112">
        <f>(Assumptions!H21*Assumptions!H22)*P5</f>
        <v/>
      </c>
      <c r="Q9" s="112">
        <f>(Assumptions!H21*Assumptions!H22)*Q5</f>
        <v/>
      </c>
      <c r="R9" s="112">
        <f>(Assumptions!H21*Assumptions!H22)*R5</f>
        <v/>
      </c>
      <c r="S9" s="112">
        <f>(Assumptions!H21*Assumptions!H22)*S5</f>
        <v/>
      </c>
      <c r="T9" s="112">
        <f>(Assumptions!H21*Assumptions!H22)*T5</f>
        <v/>
      </c>
      <c r="U9" s="112">
        <f>(Assumptions!H21*Assumptions!H22)*U5</f>
        <v/>
      </c>
      <c r="V9" s="112">
        <f>(Assumptions!H21*Assumptions!H22)*V5</f>
        <v/>
      </c>
      <c r="W9" s="112">
        <f>(Assumptions!H21*Assumptions!H22)*W5</f>
        <v/>
      </c>
      <c r="X9" s="112">
        <f>(Assumptions!H21*Assumptions!H22)*X5</f>
        <v/>
      </c>
      <c r="Y9" s="112">
        <f>(Assumptions!H21*Assumptions!H22)*Y5</f>
        <v/>
      </c>
      <c r="Z9" s="112">
        <f>(Assumptions!H21*Assumptions!H22)*Z5</f>
        <v/>
      </c>
      <c r="AA9" s="112">
        <f>(Assumptions!H21*Assumptions!H22)*AA5</f>
        <v/>
      </c>
      <c r="AB9" s="102">
        <f>SUM(P9:AA9)</f>
        <v/>
      </c>
      <c r="AC9" s="112">
        <f>(Assumptions!H21*Assumptions!H22)*AC5</f>
        <v/>
      </c>
      <c r="AD9" s="112">
        <f>(Assumptions!H21*Assumptions!H22)*AD5</f>
        <v/>
      </c>
      <c r="AE9" s="112">
        <f>(Assumptions!H21*Assumptions!H22)*AE5</f>
        <v/>
      </c>
      <c r="AF9" s="112">
        <f>(Assumptions!H21*Assumptions!H22)*AF5</f>
        <v/>
      </c>
      <c r="AG9" s="112">
        <f>(Assumptions!H21*Assumptions!H22)*AG5</f>
        <v/>
      </c>
      <c r="AH9" s="112">
        <f>(Assumptions!H21*Assumptions!H22)*AH5</f>
        <v/>
      </c>
      <c r="AI9" s="112">
        <f>(Assumptions!H21*Assumptions!H22)*AI5</f>
        <v/>
      </c>
      <c r="AJ9" s="112">
        <f>(Assumptions!H21*Assumptions!H22)*AJ5</f>
        <v/>
      </c>
      <c r="AK9" s="112">
        <f>(Assumptions!H21*Assumptions!H22)*AK5</f>
        <v/>
      </c>
      <c r="AL9" s="112">
        <f>(Assumptions!H21*Assumptions!H22)*AL5</f>
        <v/>
      </c>
      <c r="AM9" s="112">
        <f>(Assumptions!H21*Assumptions!H22)*AM5</f>
        <v/>
      </c>
      <c r="AN9" s="112">
        <f>(Assumptions!H21*Assumptions!H22)*AN5</f>
        <v/>
      </c>
      <c r="AO9" s="102">
        <f>SUM(AC9:AN9)</f>
        <v/>
      </c>
    </row>
    <row r="10" ht="15" customHeight="1" s="64">
      <c r="B10" s="80" t="inlineStr">
        <is>
          <t>Additional Part-time / Casual Staff</t>
        </is>
      </c>
      <c r="C10" s="112" t="inlineStr">
        <is>
          <t>0</t>
        </is>
      </c>
      <c r="D10" s="112" t="inlineStr">
        <is>
          <t>0</t>
        </is>
      </c>
      <c r="E10" s="112" t="inlineStr">
        <is>
          <t>0</t>
        </is>
      </c>
      <c r="F10" s="112" t="inlineStr">
        <is>
          <t>0</t>
        </is>
      </c>
      <c r="G10" s="112" t="inlineStr">
        <is>
          <t>0</t>
        </is>
      </c>
      <c r="H10" s="112" t="inlineStr">
        <is>
          <t>0</t>
        </is>
      </c>
      <c r="I10" s="112" t="inlineStr">
        <is>
          <t>0</t>
        </is>
      </c>
      <c r="J10" s="112" t="inlineStr">
        <is>
          <t>0</t>
        </is>
      </c>
      <c r="K10" s="112" t="inlineStr">
        <is>
          <t>0</t>
        </is>
      </c>
      <c r="L10" s="112" t="inlineStr">
        <is>
          <t>0</t>
        </is>
      </c>
      <c r="M10" s="112" t="inlineStr">
        <is>
          <t>0</t>
        </is>
      </c>
      <c r="N10" s="112" t="inlineStr">
        <is>
          <t>0</t>
        </is>
      </c>
      <c r="O10" s="102">
        <f>SUM(C10:N10)</f>
        <v/>
      </c>
      <c r="P10" s="112" t="inlineStr">
        <is>
          <t>0</t>
        </is>
      </c>
      <c r="Q10" s="112" t="inlineStr">
        <is>
          <t>0</t>
        </is>
      </c>
      <c r="R10" s="112" t="inlineStr">
        <is>
          <t>0</t>
        </is>
      </c>
      <c r="S10" s="112" t="inlineStr">
        <is>
          <t>0</t>
        </is>
      </c>
      <c r="T10" s="112" t="inlineStr">
        <is>
          <t>0</t>
        </is>
      </c>
      <c r="U10" s="112" t="inlineStr">
        <is>
          <t>0</t>
        </is>
      </c>
      <c r="V10" s="112" t="inlineStr">
        <is>
          <t>0</t>
        </is>
      </c>
      <c r="W10" s="112" t="inlineStr">
        <is>
          <t>0</t>
        </is>
      </c>
      <c r="X10" s="112" t="inlineStr">
        <is>
          <t>0</t>
        </is>
      </c>
      <c r="Y10" s="112" t="inlineStr">
        <is>
          <t>0</t>
        </is>
      </c>
      <c r="Z10" s="112" t="inlineStr">
        <is>
          <t>0</t>
        </is>
      </c>
      <c r="AA10" s="112" t="inlineStr">
        <is>
          <t>0</t>
        </is>
      </c>
      <c r="AB10" s="102">
        <f>SUM(P10:AA10)</f>
        <v/>
      </c>
      <c r="AC10" s="112" t="inlineStr">
        <is>
          <t>0</t>
        </is>
      </c>
      <c r="AD10" s="112" t="inlineStr">
        <is>
          <t>0</t>
        </is>
      </c>
      <c r="AE10" s="112" t="inlineStr">
        <is>
          <t>0</t>
        </is>
      </c>
      <c r="AF10" s="112" t="inlineStr">
        <is>
          <t>0</t>
        </is>
      </c>
      <c r="AG10" s="112" t="inlineStr">
        <is>
          <t>0</t>
        </is>
      </c>
      <c r="AH10" s="112" t="inlineStr">
        <is>
          <t>0</t>
        </is>
      </c>
      <c r="AI10" s="112" t="inlineStr">
        <is>
          <t>0</t>
        </is>
      </c>
      <c r="AJ10" s="112" t="inlineStr">
        <is>
          <t>0</t>
        </is>
      </c>
      <c r="AK10" s="112" t="inlineStr">
        <is>
          <t>0</t>
        </is>
      </c>
      <c r="AL10" s="112" t="inlineStr">
        <is>
          <t>0</t>
        </is>
      </c>
      <c r="AM10" s="112" t="inlineStr">
        <is>
          <t>0</t>
        </is>
      </c>
      <c r="AN10" s="112" t="inlineStr">
        <is>
          <t>0</t>
        </is>
      </c>
      <c r="AO10" s="102">
        <f>SUM(AC10:AN10)</f>
        <v/>
      </c>
    </row>
    <row r="11" ht="15" customHeight="1" s="64">
      <c r="B11" s="80" t="inlineStr">
        <is>
          <t>Staff Welfare &amp; Benefits</t>
        </is>
      </c>
      <c r="C11" s="112">
        <f>Assumptions!H47*C4</f>
        <v/>
      </c>
      <c r="D11" s="112">
        <f>Assumptions!H47*D4</f>
        <v/>
      </c>
      <c r="E11" s="112">
        <f>Assumptions!H47*E4</f>
        <v/>
      </c>
      <c r="F11" s="112">
        <f>Assumptions!H47*F4</f>
        <v/>
      </c>
      <c r="G11" s="112">
        <f>Assumptions!H47*G4</f>
        <v/>
      </c>
      <c r="H11" s="112">
        <f>Assumptions!H47*H4</f>
        <v/>
      </c>
      <c r="I11" s="112">
        <f>Assumptions!H47*I4</f>
        <v/>
      </c>
      <c r="J11" s="112">
        <f>Assumptions!H47*J4</f>
        <v/>
      </c>
      <c r="K11" s="112">
        <f>Assumptions!H47*K4</f>
        <v/>
      </c>
      <c r="L11" s="112">
        <f>Assumptions!H47*L4</f>
        <v/>
      </c>
      <c r="M11" s="112">
        <f>Assumptions!H47*M4</f>
        <v/>
      </c>
      <c r="N11" s="112">
        <f>Assumptions!H47*N4</f>
        <v/>
      </c>
      <c r="O11" s="102">
        <f>SUM(C11:N11)</f>
        <v/>
      </c>
      <c r="P11" s="112">
        <f>Assumptions!H47*P4</f>
        <v/>
      </c>
      <c r="Q11" s="112">
        <f>Assumptions!H47*Q4</f>
        <v/>
      </c>
      <c r="R11" s="112">
        <f>Assumptions!H47*R4</f>
        <v/>
      </c>
      <c r="S11" s="112">
        <f>Assumptions!H47*S4</f>
        <v/>
      </c>
      <c r="T11" s="112">
        <f>Assumptions!H47*T4</f>
        <v/>
      </c>
      <c r="U11" s="112">
        <f>Assumptions!H47*U4</f>
        <v/>
      </c>
      <c r="V11" s="112">
        <f>Assumptions!H47*V4</f>
        <v/>
      </c>
      <c r="W11" s="112">
        <f>Assumptions!H47*W4</f>
        <v/>
      </c>
      <c r="X11" s="112">
        <f>Assumptions!H47*X4</f>
        <v/>
      </c>
      <c r="Y11" s="112">
        <f>Assumptions!H47*Y4</f>
        <v/>
      </c>
      <c r="Z11" s="112">
        <f>Assumptions!H47*Z4</f>
        <v/>
      </c>
      <c r="AA11" s="112">
        <f>Assumptions!H47*AA4</f>
        <v/>
      </c>
      <c r="AB11" s="102">
        <f>SUM(P11:AA11)</f>
        <v/>
      </c>
      <c r="AC11" s="112">
        <f>Assumptions!H47*AC4</f>
        <v/>
      </c>
      <c r="AD11" s="112">
        <f>Assumptions!H47*AD4</f>
        <v/>
      </c>
      <c r="AE11" s="112">
        <f>Assumptions!H47*AE4</f>
        <v/>
      </c>
      <c r="AF11" s="112">
        <f>Assumptions!H47*AF4</f>
        <v/>
      </c>
      <c r="AG11" s="112">
        <f>Assumptions!H47*AG4</f>
        <v/>
      </c>
      <c r="AH11" s="112">
        <f>Assumptions!H47*AH4</f>
        <v/>
      </c>
      <c r="AI11" s="112">
        <f>Assumptions!H47*AI4</f>
        <v/>
      </c>
      <c r="AJ11" s="112">
        <f>Assumptions!H47*AJ4</f>
        <v/>
      </c>
      <c r="AK11" s="112">
        <f>Assumptions!H47*AK4</f>
        <v/>
      </c>
      <c r="AL11" s="112">
        <f>Assumptions!H47*AL4</f>
        <v/>
      </c>
      <c r="AM11" s="112">
        <f>Assumptions!H47*AM4</f>
        <v/>
      </c>
      <c r="AN11" s="112">
        <f>Assumptions!H47*AN4</f>
        <v/>
      </c>
      <c r="AO11" s="102">
        <f>SUM(AC11:AN11)</f>
        <v/>
      </c>
    </row>
    <row r="12"/>
    <row r="13" ht="15" customHeight="1" s="64">
      <c r="B13" s="78" t="inlineStr">
        <is>
          <t>RENT &amp; OCCUPANCY</t>
        </is>
      </c>
    </row>
    <row r="14" ht="15" customHeight="1" s="64">
      <c r="B14" s="80" t="inlineStr">
        <is>
          <t>Rent — Fixed</t>
        </is>
      </c>
      <c r="C14" s="112">
        <f>Assumptions!H32</f>
        <v/>
      </c>
      <c r="D14" s="112">
        <f>Assumptions!H32</f>
        <v/>
      </c>
      <c r="E14" s="112">
        <f>Assumptions!H32</f>
        <v/>
      </c>
      <c r="F14" s="112">
        <f>Assumptions!H32</f>
        <v/>
      </c>
      <c r="G14" s="112">
        <f>Assumptions!H32</f>
        <v/>
      </c>
      <c r="H14" s="112">
        <f>Assumptions!H32</f>
        <v/>
      </c>
      <c r="I14" s="112">
        <f>Assumptions!H32</f>
        <v/>
      </c>
      <c r="J14" s="112">
        <f>Assumptions!H32</f>
        <v/>
      </c>
      <c r="K14" s="112">
        <f>Assumptions!H32</f>
        <v/>
      </c>
      <c r="L14" s="112">
        <f>Assumptions!H32</f>
        <v/>
      </c>
      <c r="M14" s="112">
        <f>Assumptions!H32</f>
        <v/>
      </c>
      <c r="N14" s="112">
        <f>Assumptions!H32</f>
        <v/>
      </c>
      <c r="O14" s="102">
        <f>SUM(C14:N14)</f>
        <v/>
      </c>
      <c r="P14" s="112">
        <f>Assumptions!H32</f>
        <v/>
      </c>
      <c r="Q14" s="112">
        <f>Assumptions!H32</f>
        <v/>
      </c>
      <c r="R14" s="112">
        <f>Assumptions!H32</f>
        <v/>
      </c>
      <c r="S14" s="112">
        <f>Assumptions!H32</f>
        <v/>
      </c>
      <c r="T14" s="112">
        <f>Assumptions!H32</f>
        <v/>
      </c>
      <c r="U14" s="112">
        <f>Assumptions!H32</f>
        <v/>
      </c>
      <c r="V14" s="112">
        <f>Assumptions!H32</f>
        <v/>
      </c>
      <c r="W14" s="112">
        <f>Assumptions!H32</f>
        <v/>
      </c>
      <c r="X14" s="112">
        <f>Assumptions!H32</f>
        <v/>
      </c>
      <c r="Y14" s="112">
        <f>Assumptions!H32</f>
        <v/>
      </c>
      <c r="Z14" s="112">
        <f>Assumptions!H32</f>
        <v/>
      </c>
      <c r="AA14" s="112">
        <f>Assumptions!H32</f>
        <v/>
      </c>
      <c r="AB14" s="102">
        <f>SUM(P14:AA14)</f>
        <v/>
      </c>
      <c r="AC14" s="112">
        <f>Assumptions!H32</f>
        <v/>
      </c>
      <c r="AD14" s="112">
        <f>Assumptions!H32</f>
        <v/>
      </c>
      <c r="AE14" s="112">
        <f>Assumptions!H32</f>
        <v/>
      </c>
      <c r="AF14" s="112">
        <f>Assumptions!H32</f>
        <v/>
      </c>
      <c r="AG14" s="112">
        <f>Assumptions!H32</f>
        <v/>
      </c>
      <c r="AH14" s="112">
        <f>Assumptions!H32</f>
        <v/>
      </c>
      <c r="AI14" s="112">
        <f>Assumptions!H32</f>
        <v/>
      </c>
      <c r="AJ14" s="112">
        <f>Assumptions!H32</f>
        <v/>
      </c>
      <c r="AK14" s="112">
        <f>Assumptions!H32</f>
        <v/>
      </c>
      <c r="AL14" s="112">
        <f>Assumptions!H32</f>
        <v/>
      </c>
      <c r="AM14" s="112">
        <f>Assumptions!H32</f>
        <v/>
      </c>
      <c r="AN14" s="112">
        <f>Assumptions!H32</f>
        <v/>
      </c>
      <c r="AO14" s="102">
        <f>SUM(AC14:AN14)</f>
        <v/>
      </c>
    </row>
    <row r="15" ht="15" customHeight="1" s="64">
      <c r="B15" s="80" t="inlineStr">
        <is>
          <t>Rent — Variable (Turnover)</t>
        </is>
      </c>
      <c r="C15" s="112">
        <f>Revenue!C30*Assumptions!H33</f>
        <v/>
      </c>
      <c r="D15" s="112">
        <f>Revenue!D30*Assumptions!H33</f>
        <v/>
      </c>
      <c r="E15" s="112">
        <f>Revenue!E30*Assumptions!H33</f>
        <v/>
      </c>
      <c r="F15" s="112">
        <f>Revenue!F30*Assumptions!H33</f>
        <v/>
      </c>
      <c r="G15" s="112">
        <f>Revenue!G30*Assumptions!H33</f>
        <v/>
      </c>
      <c r="H15" s="112">
        <f>Revenue!H30*Assumptions!H33</f>
        <v/>
      </c>
      <c r="I15" s="112">
        <f>Revenue!I30*Assumptions!H33</f>
        <v/>
      </c>
      <c r="J15" s="112">
        <f>Revenue!J30*Assumptions!H33</f>
        <v/>
      </c>
      <c r="K15" s="112">
        <f>Revenue!K30*Assumptions!H33</f>
        <v/>
      </c>
      <c r="L15" s="112">
        <f>Revenue!L30*Assumptions!H33</f>
        <v/>
      </c>
      <c r="M15" s="112">
        <f>Revenue!M30*Assumptions!H33</f>
        <v/>
      </c>
      <c r="N15" s="112">
        <f>Revenue!N30*Assumptions!H33</f>
        <v/>
      </c>
      <c r="O15" s="102">
        <f>SUM(C15:N15)</f>
        <v/>
      </c>
      <c r="P15" s="112">
        <f>Revenue!P30*Assumptions!H33</f>
        <v/>
      </c>
      <c r="Q15" s="112">
        <f>Revenue!Q30*Assumptions!H33</f>
        <v/>
      </c>
      <c r="R15" s="112">
        <f>Revenue!R30*Assumptions!H33</f>
        <v/>
      </c>
      <c r="S15" s="112">
        <f>Revenue!S30*Assumptions!H33</f>
        <v/>
      </c>
      <c r="T15" s="112">
        <f>Revenue!T30*Assumptions!H33</f>
        <v/>
      </c>
      <c r="U15" s="112">
        <f>Revenue!U30*Assumptions!H33</f>
        <v/>
      </c>
      <c r="V15" s="112">
        <f>Revenue!V30*Assumptions!H33</f>
        <v/>
      </c>
      <c r="W15" s="112">
        <f>Revenue!W30*Assumptions!H33</f>
        <v/>
      </c>
      <c r="X15" s="112">
        <f>Revenue!X30*Assumptions!H33</f>
        <v/>
      </c>
      <c r="Y15" s="112">
        <f>Revenue!Y30*Assumptions!H33</f>
        <v/>
      </c>
      <c r="Z15" s="112">
        <f>Revenue!Z30*Assumptions!H33</f>
        <v/>
      </c>
      <c r="AA15" s="112">
        <f>Revenue!AA30*Assumptions!H33</f>
        <v/>
      </c>
      <c r="AB15" s="102">
        <f>SUM(P15:AA15)</f>
        <v/>
      </c>
      <c r="AC15" s="112">
        <f>Revenue!AC30*Assumptions!H33</f>
        <v/>
      </c>
      <c r="AD15" s="112">
        <f>Revenue!AD30*Assumptions!H33</f>
        <v/>
      </c>
      <c r="AE15" s="112">
        <f>Revenue!AE30*Assumptions!H33</f>
        <v/>
      </c>
      <c r="AF15" s="112">
        <f>Revenue!AF30*Assumptions!H33</f>
        <v/>
      </c>
      <c r="AG15" s="112">
        <f>Revenue!AG30*Assumptions!H33</f>
        <v/>
      </c>
      <c r="AH15" s="112">
        <f>Revenue!AH30*Assumptions!H33</f>
        <v/>
      </c>
      <c r="AI15" s="112">
        <f>Revenue!AI30*Assumptions!H33</f>
        <v/>
      </c>
      <c r="AJ15" s="112">
        <f>Revenue!AJ30*Assumptions!H33</f>
        <v/>
      </c>
      <c r="AK15" s="112">
        <f>Revenue!AK30*Assumptions!H33</f>
        <v/>
      </c>
      <c r="AL15" s="112">
        <f>Revenue!AL30*Assumptions!H33</f>
        <v/>
      </c>
      <c r="AM15" s="112">
        <f>Revenue!AM30*Assumptions!H33</f>
        <v/>
      </c>
      <c r="AN15" s="112">
        <f>Revenue!AN30*Assumptions!H33</f>
        <v/>
      </c>
      <c r="AO15" s="102">
        <f>SUM(AC15:AN15)</f>
        <v/>
      </c>
    </row>
    <row r="16" ht="15" customHeight="1" s="64">
      <c r="B16" s="80" t="inlineStr">
        <is>
          <t>Building Management Fee</t>
        </is>
      </c>
      <c r="C16" s="112">
        <f>Assumptions!H34*C4</f>
        <v/>
      </c>
      <c r="D16" s="112">
        <f>Assumptions!H34*D4</f>
        <v/>
      </c>
      <c r="E16" s="112">
        <f>Assumptions!H34*E4</f>
        <v/>
      </c>
      <c r="F16" s="112">
        <f>Assumptions!H34*F4</f>
        <v/>
      </c>
      <c r="G16" s="112">
        <f>Assumptions!H34*G4</f>
        <v/>
      </c>
      <c r="H16" s="112">
        <f>Assumptions!H34*H4</f>
        <v/>
      </c>
      <c r="I16" s="112">
        <f>Assumptions!H34*I4</f>
        <v/>
      </c>
      <c r="J16" s="112">
        <f>Assumptions!H34*J4</f>
        <v/>
      </c>
      <c r="K16" s="112">
        <f>Assumptions!H34*K4</f>
        <v/>
      </c>
      <c r="L16" s="112">
        <f>Assumptions!H34*L4</f>
        <v/>
      </c>
      <c r="M16" s="112">
        <f>Assumptions!H34*M4</f>
        <v/>
      </c>
      <c r="N16" s="112">
        <f>Assumptions!H34*N4</f>
        <v/>
      </c>
      <c r="O16" s="102">
        <f>SUM(C16:N16)</f>
        <v/>
      </c>
      <c r="P16" s="112">
        <f>Assumptions!H34*P4</f>
        <v/>
      </c>
      <c r="Q16" s="112">
        <f>Assumptions!H34*Q4</f>
        <v/>
      </c>
      <c r="R16" s="112">
        <f>Assumptions!H34*R4</f>
        <v/>
      </c>
      <c r="S16" s="112">
        <f>Assumptions!H34*S4</f>
        <v/>
      </c>
      <c r="T16" s="112">
        <f>Assumptions!H34*T4</f>
        <v/>
      </c>
      <c r="U16" s="112">
        <f>Assumptions!H34*U4</f>
        <v/>
      </c>
      <c r="V16" s="112">
        <f>Assumptions!H34*V4</f>
        <v/>
      </c>
      <c r="W16" s="112">
        <f>Assumptions!H34*W4</f>
        <v/>
      </c>
      <c r="X16" s="112">
        <f>Assumptions!H34*X4</f>
        <v/>
      </c>
      <c r="Y16" s="112">
        <f>Assumptions!H34*Y4</f>
        <v/>
      </c>
      <c r="Z16" s="112">
        <f>Assumptions!H34*Z4</f>
        <v/>
      </c>
      <c r="AA16" s="112">
        <f>Assumptions!H34*AA4</f>
        <v/>
      </c>
      <c r="AB16" s="102">
        <f>SUM(P16:AA16)</f>
        <v/>
      </c>
      <c r="AC16" s="112">
        <f>Assumptions!H34*AC4</f>
        <v/>
      </c>
      <c r="AD16" s="112">
        <f>Assumptions!H34*AD4</f>
        <v/>
      </c>
      <c r="AE16" s="112">
        <f>Assumptions!H34*AE4</f>
        <v/>
      </c>
      <c r="AF16" s="112">
        <f>Assumptions!H34*AF4</f>
        <v/>
      </c>
      <c r="AG16" s="112">
        <f>Assumptions!H34*AG4</f>
        <v/>
      </c>
      <c r="AH16" s="112">
        <f>Assumptions!H34*AH4</f>
        <v/>
      </c>
      <c r="AI16" s="112">
        <f>Assumptions!H34*AI4</f>
        <v/>
      </c>
      <c r="AJ16" s="112">
        <f>Assumptions!H34*AJ4</f>
        <v/>
      </c>
      <c r="AK16" s="112">
        <f>Assumptions!H34*AK4</f>
        <v/>
      </c>
      <c r="AL16" s="112">
        <f>Assumptions!H34*AL4</f>
        <v/>
      </c>
      <c r="AM16" s="112">
        <f>Assumptions!H34*AM4</f>
        <v/>
      </c>
      <c r="AN16" s="112">
        <f>Assumptions!H34*AN4</f>
        <v/>
      </c>
      <c r="AO16" s="102">
        <f>SUM(AC16:AN16)</f>
        <v/>
      </c>
    </row>
    <row r="17" ht="15" customHeight="1" s="64">
      <c r="B17" s="80" t="inlineStr">
        <is>
          <t>Rates</t>
        </is>
      </c>
      <c r="C17" s="112">
        <f>Assumptions!H37*C4</f>
        <v/>
      </c>
      <c r="D17" s="112">
        <f>Assumptions!H37*D4</f>
        <v/>
      </c>
      <c r="E17" s="112">
        <f>Assumptions!H37*E4</f>
        <v/>
      </c>
      <c r="F17" s="112">
        <f>Assumptions!H37*F4</f>
        <v/>
      </c>
      <c r="G17" s="112">
        <f>Assumptions!H37*G4</f>
        <v/>
      </c>
      <c r="H17" s="112">
        <f>Assumptions!H37*H4</f>
        <v/>
      </c>
      <c r="I17" s="112">
        <f>Assumptions!H37*I4</f>
        <v/>
      </c>
      <c r="J17" s="112">
        <f>Assumptions!H37*J4</f>
        <v/>
      </c>
      <c r="K17" s="112">
        <f>Assumptions!H37*K4</f>
        <v/>
      </c>
      <c r="L17" s="112">
        <f>Assumptions!H37*L4</f>
        <v/>
      </c>
      <c r="M17" s="112">
        <f>Assumptions!H37*M4</f>
        <v/>
      </c>
      <c r="N17" s="112">
        <f>Assumptions!H37*N4</f>
        <v/>
      </c>
      <c r="O17" s="102">
        <f>SUM(C17:N17)</f>
        <v/>
      </c>
      <c r="P17" s="112">
        <f>Assumptions!H37*P4</f>
        <v/>
      </c>
      <c r="Q17" s="112">
        <f>Assumptions!H37*Q4</f>
        <v/>
      </c>
      <c r="R17" s="112">
        <f>Assumptions!H37*R4</f>
        <v/>
      </c>
      <c r="S17" s="112">
        <f>Assumptions!H37*S4</f>
        <v/>
      </c>
      <c r="T17" s="112">
        <f>Assumptions!H37*T4</f>
        <v/>
      </c>
      <c r="U17" s="112">
        <f>Assumptions!H37*U4</f>
        <v/>
      </c>
      <c r="V17" s="112">
        <f>Assumptions!H37*V4</f>
        <v/>
      </c>
      <c r="W17" s="112">
        <f>Assumptions!H37*W4</f>
        <v/>
      </c>
      <c r="X17" s="112">
        <f>Assumptions!H37*X4</f>
        <v/>
      </c>
      <c r="Y17" s="112">
        <f>Assumptions!H37*Y4</f>
        <v/>
      </c>
      <c r="Z17" s="112">
        <f>Assumptions!H37*Z4</f>
        <v/>
      </c>
      <c r="AA17" s="112">
        <f>Assumptions!H37*AA4</f>
        <v/>
      </c>
      <c r="AB17" s="102">
        <f>SUM(P17:AA17)</f>
        <v/>
      </c>
      <c r="AC17" s="112">
        <f>Assumptions!H37*AC4</f>
        <v/>
      </c>
      <c r="AD17" s="112">
        <f>Assumptions!H37*AD4</f>
        <v/>
      </c>
      <c r="AE17" s="112">
        <f>Assumptions!H37*AE4</f>
        <v/>
      </c>
      <c r="AF17" s="112">
        <f>Assumptions!H37*AF4</f>
        <v/>
      </c>
      <c r="AG17" s="112">
        <f>Assumptions!H37*AG4</f>
        <v/>
      </c>
      <c r="AH17" s="112">
        <f>Assumptions!H37*AH4</f>
        <v/>
      </c>
      <c r="AI17" s="112">
        <f>Assumptions!H37*AI4</f>
        <v/>
      </c>
      <c r="AJ17" s="112">
        <f>Assumptions!H37*AJ4</f>
        <v/>
      </c>
      <c r="AK17" s="112">
        <f>Assumptions!H37*AK4</f>
        <v/>
      </c>
      <c r="AL17" s="112">
        <f>Assumptions!H37*AL4</f>
        <v/>
      </c>
      <c r="AM17" s="112">
        <f>Assumptions!H37*AM4</f>
        <v/>
      </c>
      <c r="AN17" s="112">
        <f>Assumptions!H37*AN4</f>
        <v/>
      </c>
      <c r="AO17" s="102">
        <f>SUM(AC17:AN17)</f>
        <v/>
      </c>
    </row>
    <row r="18"/>
    <row r="19" ht="15" customHeight="1" s="64">
      <c r="B19" s="78" t="inlineStr">
        <is>
          <t>UTILITIES &amp; FACILITIES</t>
        </is>
      </c>
    </row>
    <row r="20" ht="15" customHeight="1" s="64">
      <c r="B20" s="80" t="inlineStr">
        <is>
          <t>Electricity / Water / Gas</t>
        </is>
      </c>
      <c r="C20" s="112">
        <f>Assumptions!H35*C4</f>
        <v/>
      </c>
      <c r="D20" s="112">
        <f>Assumptions!H35*D4</f>
        <v/>
      </c>
      <c r="E20" s="112">
        <f>Assumptions!H35*E4</f>
        <v/>
      </c>
      <c r="F20" s="112">
        <f>Assumptions!H35*F4</f>
        <v/>
      </c>
      <c r="G20" s="112">
        <f>Assumptions!H35*G4</f>
        <v/>
      </c>
      <c r="H20" s="112">
        <f>Assumptions!H35*H4</f>
        <v/>
      </c>
      <c r="I20" s="112">
        <f>Assumptions!H35*I4</f>
        <v/>
      </c>
      <c r="J20" s="112">
        <f>Assumptions!H35*J4</f>
        <v/>
      </c>
      <c r="K20" s="112">
        <f>Assumptions!H35*K4</f>
        <v/>
      </c>
      <c r="L20" s="112">
        <f>Assumptions!H35*L4</f>
        <v/>
      </c>
      <c r="M20" s="112">
        <f>Assumptions!H35*M4</f>
        <v/>
      </c>
      <c r="N20" s="112">
        <f>Assumptions!H35*N4</f>
        <v/>
      </c>
      <c r="O20" s="102">
        <f>SUM(C20:N20)</f>
        <v/>
      </c>
      <c r="P20" s="112">
        <f>Assumptions!H35*P4</f>
        <v/>
      </c>
      <c r="Q20" s="112">
        <f>Assumptions!H35*Q4</f>
        <v/>
      </c>
      <c r="R20" s="112">
        <f>Assumptions!H35*R4</f>
        <v/>
      </c>
      <c r="S20" s="112">
        <f>Assumptions!H35*S4</f>
        <v/>
      </c>
      <c r="T20" s="112">
        <f>Assumptions!H35*T4</f>
        <v/>
      </c>
      <c r="U20" s="112">
        <f>Assumptions!H35*U4</f>
        <v/>
      </c>
      <c r="V20" s="112">
        <f>Assumptions!H35*V4</f>
        <v/>
      </c>
      <c r="W20" s="112">
        <f>Assumptions!H35*W4</f>
        <v/>
      </c>
      <c r="X20" s="112">
        <f>Assumptions!H35*X4</f>
        <v/>
      </c>
      <c r="Y20" s="112">
        <f>Assumptions!H35*Y4</f>
        <v/>
      </c>
      <c r="Z20" s="112">
        <f>Assumptions!H35*Z4</f>
        <v/>
      </c>
      <c r="AA20" s="112">
        <f>Assumptions!H35*AA4</f>
        <v/>
      </c>
      <c r="AB20" s="102">
        <f>SUM(P20:AA20)</f>
        <v/>
      </c>
      <c r="AC20" s="112">
        <f>Assumptions!H35*AC4</f>
        <v/>
      </c>
      <c r="AD20" s="112">
        <f>Assumptions!H35*AD4</f>
        <v/>
      </c>
      <c r="AE20" s="112">
        <f>Assumptions!H35*AE4</f>
        <v/>
      </c>
      <c r="AF20" s="112">
        <f>Assumptions!H35*AF4</f>
        <v/>
      </c>
      <c r="AG20" s="112">
        <f>Assumptions!H35*AG4</f>
        <v/>
      </c>
      <c r="AH20" s="112">
        <f>Assumptions!H35*AH4</f>
        <v/>
      </c>
      <c r="AI20" s="112">
        <f>Assumptions!H35*AI4</f>
        <v/>
      </c>
      <c r="AJ20" s="112">
        <f>Assumptions!H35*AJ4</f>
        <v/>
      </c>
      <c r="AK20" s="112">
        <f>Assumptions!H35*AK4</f>
        <v/>
      </c>
      <c r="AL20" s="112">
        <f>Assumptions!H35*AL4</f>
        <v/>
      </c>
      <c r="AM20" s="112">
        <f>Assumptions!H35*AM4</f>
        <v/>
      </c>
      <c r="AN20" s="112">
        <f>Assumptions!H35*AN4</f>
        <v/>
      </c>
      <c r="AO20" s="102">
        <f>SUM(AC20:AN20)</f>
        <v/>
      </c>
    </row>
    <row r="21" ht="15" customHeight="1" s="64">
      <c r="B21" s="80" t="inlineStr">
        <is>
          <t>Insurance</t>
        </is>
      </c>
      <c r="C21" s="112">
        <f>Assumptions!H36*C4</f>
        <v/>
      </c>
      <c r="D21" s="112">
        <f>Assumptions!H36*D4</f>
        <v/>
      </c>
      <c r="E21" s="112">
        <f>Assumptions!H36*E4</f>
        <v/>
      </c>
      <c r="F21" s="112">
        <f>Assumptions!H36*F4</f>
        <v/>
      </c>
      <c r="G21" s="112">
        <f>Assumptions!H36*G4</f>
        <v/>
      </c>
      <c r="H21" s="112">
        <f>Assumptions!H36*H4</f>
        <v/>
      </c>
      <c r="I21" s="112">
        <f>Assumptions!H36*I4</f>
        <v/>
      </c>
      <c r="J21" s="112">
        <f>Assumptions!H36*J4</f>
        <v/>
      </c>
      <c r="K21" s="112">
        <f>Assumptions!H36*K4</f>
        <v/>
      </c>
      <c r="L21" s="112">
        <f>Assumptions!H36*L4</f>
        <v/>
      </c>
      <c r="M21" s="112">
        <f>Assumptions!H36*M4</f>
        <v/>
      </c>
      <c r="N21" s="112">
        <f>Assumptions!H36*N4</f>
        <v/>
      </c>
      <c r="O21" s="102">
        <f>SUM(C21:N21)</f>
        <v/>
      </c>
      <c r="P21" s="112">
        <f>Assumptions!H36*P4</f>
        <v/>
      </c>
      <c r="Q21" s="112">
        <f>Assumptions!H36*Q4</f>
        <v/>
      </c>
      <c r="R21" s="112">
        <f>Assumptions!H36*R4</f>
        <v/>
      </c>
      <c r="S21" s="112">
        <f>Assumptions!H36*S4</f>
        <v/>
      </c>
      <c r="T21" s="112">
        <f>Assumptions!H36*T4</f>
        <v/>
      </c>
      <c r="U21" s="112">
        <f>Assumptions!H36*U4</f>
        <v/>
      </c>
      <c r="V21" s="112">
        <f>Assumptions!H36*V4</f>
        <v/>
      </c>
      <c r="W21" s="112">
        <f>Assumptions!H36*W4</f>
        <v/>
      </c>
      <c r="X21" s="112">
        <f>Assumptions!H36*X4</f>
        <v/>
      </c>
      <c r="Y21" s="112">
        <f>Assumptions!H36*Y4</f>
        <v/>
      </c>
      <c r="Z21" s="112">
        <f>Assumptions!H36*Z4</f>
        <v/>
      </c>
      <c r="AA21" s="112">
        <f>Assumptions!H36*AA4</f>
        <v/>
      </c>
      <c r="AB21" s="102">
        <f>SUM(P21:AA21)</f>
        <v/>
      </c>
      <c r="AC21" s="112">
        <f>Assumptions!H36*AC4</f>
        <v/>
      </c>
      <c r="AD21" s="112">
        <f>Assumptions!H36*AD4</f>
        <v/>
      </c>
      <c r="AE21" s="112">
        <f>Assumptions!H36*AE4</f>
        <v/>
      </c>
      <c r="AF21" s="112">
        <f>Assumptions!H36*AF4</f>
        <v/>
      </c>
      <c r="AG21" s="112">
        <f>Assumptions!H36*AG4</f>
        <v/>
      </c>
      <c r="AH21" s="112">
        <f>Assumptions!H36*AH4</f>
        <v/>
      </c>
      <c r="AI21" s="112">
        <f>Assumptions!H36*AI4</f>
        <v/>
      </c>
      <c r="AJ21" s="112">
        <f>Assumptions!H36*AJ4</f>
        <v/>
      </c>
      <c r="AK21" s="112">
        <f>Assumptions!H36*AK4</f>
        <v/>
      </c>
      <c r="AL21" s="112">
        <f>Assumptions!H36*AL4</f>
        <v/>
      </c>
      <c r="AM21" s="112">
        <f>Assumptions!H36*AM4</f>
        <v/>
      </c>
      <c r="AN21" s="112">
        <f>Assumptions!H36*AN4</f>
        <v/>
      </c>
      <c r="AO21" s="102">
        <f>SUM(AC21:AN21)</f>
        <v/>
      </c>
    </row>
    <row r="22" ht="15" customHeight="1" s="64">
      <c r="B22" s="80" t="inlineStr">
        <is>
          <t>Cleaning</t>
        </is>
      </c>
      <c r="C22" s="112">
        <f>Assumptions!H38*C4</f>
        <v/>
      </c>
      <c r="D22" s="112">
        <f>Assumptions!H38*D4</f>
        <v/>
      </c>
      <c r="E22" s="112">
        <f>Assumptions!H38*E4</f>
        <v/>
      </c>
      <c r="F22" s="112">
        <f>Assumptions!H38*F4</f>
        <v/>
      </c>
      <c r="G22" s="112">
        <f>Assumptions!H38*G4</f>
        <v/>
      </c>
      <c r="H22" s="112">
        <f>Assumptions!H38*H4</f>
        <v/>
      </c>
      <c r="I22" s="112">
        <f>Assumptions!H38*I4</f>
        <v/>
      </c>
      <c r="J22" s="112">
        <f>Assumptions!H38*J4</f>
        <v/>
      </c>
      <c r="K22" s="112">
        <f>Assumptions!H38*K4</f>
        <v/>
      </c>
      <c r="L22" s="112">
        <f>Assumptions!H38*L4</f>
        <v/>
      </c>
      <c r="M22" s="112">
        <f>Assumptions!H38*M4</f>
        <v/>
      </c>
      <c r="N22" s="112">
        <f>Assumptions!H38*N4</f>
        <v/>
      </c>
      <c r="O22" s="102">
        <f>SUM(C22:N22)</f>
        <v/>
      </c>
      <c r="P22" s="112">
        <f>Assumptions!H38*P4</f>
        <v/>
      </c>
      <c r="Q22" s="112">
        <f>Assumptions!H38*Q4</f>
        <v/>
      </c>
      <c r="R22" s="112">
        <f>Assumptions!H38*R4</f>
        <v/>
      </c>
      <c r="S22" s="112">
        <f>Assumptions!H38*S4</f>
        <v/>
      </c>
      <c r="T22" s="112">
        <f>Assumptions!H38*T4</f>
        <v/>
      </c>
      <c r="U22" s="112">
        <f>Assumptions!H38*U4</f>
        <v/>
      </c>
      <c r="V22" s="112">
        <f>Assumptions!H38*V4</f>
        <v/>
      </c>
      <c r="W22" s="112">
        <f>Assumptions!H38*W4</f>
        <v/>
      </c>
      <c r="X22" s="112">
        <f>Assumptions!H38*X4</f>
        <v/>
      </c>
      <c r="Y22" s="112">
        <f>Assumptions!H38*Y4</f>
        <v/>
      </c>
      <c r="Z22" s="112">
        <f>Assumptions!H38*Z4</f>
        <v/>
      </c>
      <c r="AA22" s="112">
        <f>Assumptions!H38*AA4</f>
        <v/>
      </c>
      <c r="AB22" s="102">
        <f>SUM(P22:AA22)</f>
        <v/>
      </c>
      <c r="AC22" s="112">
        <f>Assumptions!H38*AC4</f>
        <v/>
      </c>
      <c r="AD22" s="112">
        <f>Assumptions!H38*AD4</f>
        <v/>
      </c>
      <c r="AE22" s="112">
        <f>Assumptions!H38*AE4</f>
        <v/>
      </c>
      <c r="AF22" s="112">
        <f>Assumptions!H38*AF4</f>
        <v/>
      </c>
      <c r="AG22" s="112">
        <f>Assumptions!H38*AG4</f>
        <v/>
      </c>
      <c r="AH22" s="112">
        <f>Assumptions!H38*AH4</f>
        <v/>
      </c>
      <c r="AI22" s="112">
        <f>Assumptions!H38*AI4</f>
        <v/>
      </c>
      <c r="AJ22" s="112">
        <f>Assumptions!H38*AJ4</f>
        <v/>
      </c>
      <c r="AK22" s="112">
        <f>Assumptions!H38*AK4</f>
        <v/>
      </c>
      <c r="AL22" s="112">
        <f>Assumptions!H38*AL4</f>
        <v/>
      </c>
      <c r="AM22" s="112">
        <f>Assumptions!H38*AM4</f>
        <v/>
      </c>
      <c r="AN22" s="112">
        <f>Assumptions!H38*AN4</f>
        <v/>
      </c>
      <c r="AO22" s="102">
        <f>SUM(AC22:AN22)</f>
        <v/>
      </c>
    </row>
    <row r="23" ht="15" customHeight="1" s="64">
      <c r="B23" s="80" t="inlineStr">
        <is>
          <t>Garbage / Disposal</t>
        </is>
      </c>
      <c r="C23" s="112">
        <f>Assumptions!H45*C4</f>
        <v/>
      </c>
      <c r="D23" s="112">
        <f>Assumptions!H45*D4</f>
        <v/>
      </c>
      <c r="E23" s="112">
        <f>Assumptions!H45*E4</f>
        <v/>
      </c>
      <c r="F23" s="112">
        <f>Assumptions!H45*F4</f>
        <v/>
      </c>
      <c r="G23" s="112">
        <f>Assumptions!H45*G4</f>
        <v/>
      </c>
      <c r="H23" s="112">
        <f>Assumptions!H45*H4</f>
        <v/>
      </c>
      <c r="I23" s="112">
        <f>Assumptions!H45*I4</f>
        <v/>
      </c>
      <c r="J23" s="112">
        <f>Assumptions!H45*J4</f>
        <v/>
      </c>
      <c r="K23" s="112">
        <f>Assumptions!H45*K4</f>
        <v/>
      </c>
      <c r="L23" s="112">
        <f>Assumptions!H45*L4</f>
        <v/>
      </c>
      <c r="M23" s="112">
        <f>Assumptions!H45*M4</f>
        <v/>
      </c>
      <c r="N23" s="112">
        <f>Assumptions!H45*N4</f>
        <v/>
      </c>
      <c r="O23" s="102">
        <f>SUM(C23:N23)</f>
        <v/>
      </c>
      <c r="P23" s="112">
        <f>Assumptions!H45*P4</f>
        <v/>
      </c>
      <c r="Q23" s="112">
        <f>Assumptions!H45*Q4</f>
        <v/>
      </c>
      <c r="R23" s="112">
        <f>Assumptions!H45*R4</f>
        <v/>
      </c>
      <c r="S23" s="112">
        <f>Assumptions!H45*S4</f>
        <v/>
      </c>
      <c r="T23" s="112">
        <f>Assumptions!H45*T4</f>
        <v/>
      </c>
      <c r="U23" s="112">
        <f>Assumptions!H45*U4</f>
        <v/>
      </c>
      <c r="V23" s="112">
        <f>Assumptions!H45*V4</f>
        <v/>
      </c>
      <c r="W23" s="112">
        <f>Assumptions!H45*W4</f>
        <v/>
      </c>
      <c r="X23" s="112">
        <f>Assumptions!H45*X4</f>
        <v/>
      </c>
      <c r="Y23" s="112">
        <f>Assumptions!H45*Y4</f>
        <v/>
      </c>
      <c r="Z23" s="112">
        <f>Assumptions!H45*Z4</f>
        <v/>
      </c>
      <c r="AA23" s="112">
        <f>Assumptions!H45*AA4</f>
        <v/>
      </c>
      <c r="AB23" s="102">
        <f>SUM(P23:AA23)</f>
        <v/>
      </c>
      <c r="AC23" s="112">
        <f>Assumptions!H45*AC4</f>
        <v/>
      </c>
      <c r="AD23" s="112">
        <f>Assumptions!H45*AD4</f>
        <v/>
      </c>
      <c r="AE23" s="112">
        <f>Assumptions!H45*AE4</f>
        <v/>
      </c>
      <c r="AF23" s="112">
        <f>Assumptions!H45*AF4</f>
        <v/>
      </c>
      <c r="AG23" s="112">
        <f>Assumptions!H45*AG4</f>
        <v/>
      </c>
      <c r="AH23" s="112">
        <f>Assumptions!H45*AH4</f>
        <v/>
      </c>
      <c r="AI23" s="112">
        <f>Assumptions!H45*AI4</f>
        <v/>
      </c>
      <c r="AJ23" s="112">
        <f>Assumptions!H45*AJ4</f>
        <v/>
      </c>
      <c r="AK23" s="112">
        <f>Assumptions!H45*AK4</f>
        <v/>
      </c>
      <c r="AL23" s="112">
        <f>Assumptions!H45*AL4</f>
        <v/>
      </c>
      <c r="AM23" s="112">
        <f>Assumptions!H45*AM4</f>
        <v/>
      </c>
      <c r="AN23" s="112">
        <f>Assumptions!H45*AN4</f>
        <v/>
      </c>
      <c r="AO23" s="102">
        <f>SUM(AC23:AN23)</f>
        <v/>
      </c>
    </row>
    <row r="24" ht="15" customHeight="1" s="64">
      <c r="B24" s="80" t="inlineStr">
        <is>
          <t>Repairs &amp; Maintenance</t>
        </is>
      </c>
      <c r="C24" s="112">
        <f>Assumptions!H46*C4</f>
        <v/>
      </c>
      <c r="D24" s="112">
        <f>Assumptions!H46*D4</f>
        <v/>
      </c>
      <c r="E24" s="112">
        <f>Assumptions!H46*E4</f>
        <v/>
      </c>
      <c r="F24" s="112">
        <f>Assumptions!H46*F4</f>
        <v/>
      </c>
      <c r="G24" s="112">
        <f>Assumptions!H46*G4</f>
        <v/>
      </c>
      <c r="H24" s="112">
        <f>Assumptions!H46*H4</f>
        <v/>
      </c>
      <c r="I24" s="112">
        <f>Assumptions!H46*I4</f>
        <v/>
      </c>
      <c r="J24" s="112">
        <f>Assumptions!H46*J4</f>
        <v/>
      </c>
      <c r="K24" s="112">
        <f>Assumptions!H46*K4</f>
        <v/>
      </c>
      <c r="L24" s="112">
        <f>Assumptions!H46*L4</f>
        <v/>
      </c>
      <c r="M24" s="112">
        <f>Assumptions!H46*M4</f>
        <v/>
      </c>
      <c r="N24" s="112">
        <f>Assumptions!H46*N4</f>
        <v/>
      </c>
      <c r="O24" s="102">
        <f>SUM(C24:N24)</f>
        <v/>
      </c>
      <c r="P24" s="112">
        <f>Assumptions!H46*P4</f>
        <v/>
      </c>
      <c r="Q24" s="112">
        <f>Assumptions!H46*Q4</f>
        <v/>
      </c>
      <c r="R24" s="112">
        <f>Assumptions!H46*R4</f>
        <v/>
      </c>
      <c r="S24" s="112">
        <f>Assumptions!H46*S4</f>
        <v/>
      </c>
      <c r="T24" s="112">
        <f>Assumptions!H46*T4</f>
        <v/>
      </c>
      <c r="U24" s="112">
        <f>Assumptions!H46*U4</f>
        <v/>
      </c>
      <c r="V24" s="112">
        <f>Assumptions!H46*V4</f>
        <v/>
      </c>
      <c r="W24" s="112">
        <f>Assumptions!H46*W4</f>
        <v/>
      </c>
      <c r="X24" s="112">
        <f>Assumptions!H46*X4</f>
        <v/>
      </c>
      <c r="Y24" s="112">
        <f>Assumptions!H46*Y4</f>
        <v/>
      </c>
      <c r="Z24" s="112">
        <f>Assumptions!H46*Z4</f>
        <v/>
      </c>
      <c r="AA24" s="112">
        <f>Assumptions!H46*AA4</f>
        <v/>
      </c>
      <c r="AB24" s="102">
        <f>SUM(P24:AA24)</f>
        <v/>
      </c>
      <c r="AC24" s="112">
        <f>Assumptions!H46*AC4</f>
        <v/>
      </c>
      <c r="AD24" s="112">
        <f>Assumptions!H46*AD4</f>
        <v/>
      </c>
      <c r="AE24" s="112">
        <f>Assumptions!H46*AE4</f>
        <v/>
      </c>
      <c r="AF24" s="112">
        <f>Assumptions!H46*AF4</f>
        <v/>
      </c>
      <c r="AG24" s="112">
        <f>Assumptions!H46*AG4</f>
        <v/>
      </c>
      <c r="AH24" s="112">
        <f>Assumptions!H46*AH4</f>
        <v/>
      </c>
      <c r="AI24" s="112">
        <f>Assumptions!H46*AI4</f>
        <v/>
      </c>
      <c r="AJ24" s="112">
        <f>Assumptions!H46*AJ4</f>
        <v/>
      </c>
      <c r="AK24" s="112">
        <f>Assumptions!H46*AK4</f>
        <v/>
      </c>
      <c r="AL24" s="112">
        <f>Assumptions!H46*AL4</f>
        <v/>
      </c>
      <c r="AM24" s="112">
        <f>Assumptions!H46*AM4</f>
        <v/>
      </c>
      <c r="AN24" s="112">
        <f>Assumptions!H46*AN4</f>
        <v/>
      </c>
      <c r="AO24" s="102">
        <f>SUM(AC24:AN24)</f>
        <v/>
      </c>
    </row>
    <row r="25"/>
    <row r="26" ht="15" customHeight="1" s="64">
      <c r="B26" s="78" t="inlineStr">
        <is>
          <t>ADMIN &amp; MARKETING</t>
        </is>
      </c>
    </row>
    <row r="27" ht="15" customHeight="1" s="64">
      <c r="B27" s="80" t="inlineStr">
        <is>
          <t>Credit Card Processing</t>
        </is>
      </c>
      <c r="C27" s="112">
        <f>Revenue!C30*Assumptions!H39</f>
        <v/>
      </c>
      <c r="D27" s="112">
        <f>Revenue!D30*Assumptions!H39</f>
        <v/>
      </c>
      <c r="E27" s="112">
        <f>Revenue!E30*Assumptions!H39</f>
        <v/>
      </c>
      <c r="F27" s="112">
        <f>Revenue!F30*Assumptions!H39</f>
        <v/>
      </c>
      <c r="G27" s="112">
        <f>Revenue!G30*Assumptions!H39</f>
        <v/>
      </c>
      <c r="H27" s="112">
        <f>Revenue!H30*Assumptions!H39</f>
        <v/>
      </c>
      <c r="I27" s="112">
        <f>Revenue!I30*Assumptions!H39</f>
        <v/>
      </c>
      <c r="J27" s="112">
        <f>Revenue!J30*Assumptions!H39</f>
        <v/>
      </c>
      <c r="K27" s="112">
        <f>Revenue!K30*Assumptions!H39</f>
        <v/>
      </c>
      <c r="L27" s="112">
        <f>Revenue!L30*Assumptions!H39</f>
        <v/>
      </c>
      <c r="M27" s="112">
        <f>Revenue!M30*Assumptions!H39</f>
        <v/>
      </c>
      <c r="N27" s="112">
        <f>Revenue!N30*Assumptions!H39</f>
        <v/>
      </c>
      <c r="O27" s="102">
        <f>SUM(C27:N27)</f>
        <v/>
      </c>
      <c r="P27" s="112">
        <f>Revenue!P30*Assumptions!H39</f>
        <v/>
      </c>
      <c r="Q27" s="112">
        <f>Revenue!Q30*Assumptions!H39</f>
        <v/>
      </c>
      <c r="R27" s="112">
        <f>Revenue!R30*Assumptions!H39</f>
        <v/>
      </c>
      <c r="S27" s="112">
        <f>Revenue!S30*Assumptions!H39</f>
        <v/>
      </c>
      <c r="T27" s="112">
        <f>Revenue!T30*Assumptions!H39</f>
        <v/>
      </c>
      <c r="U27" s="112">
        <f>Revenue!U30*Assumptions!H39</f>
        <v/>
      </c>
      <c r="V27" s="112">
        <f>Revenue!V30*Assumptions!H39</f>
        <v/>
      </c>
      <c r="W27" s="112">
        <f>Revenue!W30*Assumptions!H39</f>
        <v/>
      </c>
      <c r="X27" s="112">
        <f>Revenue!X30*Assumptions!H39</f>
        <v/>
      </c>
      <c r="Y27" s="112">
        <f>Revenue!Y30*Assumptions!H39</f>
        <v/>
      </c>
      <c r="Z27" s="112">
        <f>Revenue!Z30*Assumptions!H39</f>
        <v/>
      </c>
      <c r="AA27" s="112">
        <f>Revenue!AA30*Assumptions!H39</f>
        <v/>
      </c>
      <c r="AB27" s="102">
        <f>SUM(P27:AA27)</f>
        <v/>
      </c>
      <c r="AC27" s="112">
        <f>Revenue!AC30*Assumptions!H39</f>
        <v/>
      </c>
      <c r="AD27" s="112">
        <f>Revenue!AD30*Assumptions!H39</f>
        <v/>
      </c>
      <c r="AE27" s="112">
        <f>Revenue!AE30*Assumptions!H39</f>
        <v/>
      </c>
      <c r="AF27" s="112">
        <f>Revenue!AF30*Assumptions!H39</f>
        <v/>
      </c>
      <c r="AG27" s="112">
        <f>Revenue!AG30*Assumptions!H39</f>
        <v/>
      </c>
      <c r="AH27" s="112">
        <f>Revenue!AH30*Assumptions!H39</f>
        <v/>
      </c>
      <c r="AI27" s="112">
        <f>Revenue!AI30*Assumptions!H39</f>
        <v/>
      </c>
      <c r="AJ27" s="112">
        <f>Revenue!AJ30*Assumptions!H39</f>
        <v/>
      </c>
      <c r="AK27" s="112">
        <f>Revenue!AK30*Assumptions!H39</f>
        <v/>
      </c>
      <c r="AL27" s="112">
        <f>Revenue!AL30*Assumptions!H39</f>
        <v/>
      </c>
      <c r="AM27" s="112">
        <f>Revenue!AM30*Assumptions!H39</f>
        <v/>
      </c>
      <c r="AN27" s="112">
        <f>Revenue!AN30*Assumptions!H39</f>
        <v/>
      </c>
      <c r="AO27" s="102">
        <f>SUM(AC27:AN27)</f>
        <v/>
      </c>
    </row>
    <row r="28" ht="15" customHeight="1" s="64">
      <c r="B28" s="80" t="inlineStr">
        <is>
          <t>Marketing / PR</t>
        </is>
      </c>
      <c r="C28" s="112">
        <f>Assumptions!H40*C4</f>
        <v/>
      </c>
      <c r="D28" s="112">
        <f>Assumptions!H40*D4</f>
        <v/>
      </c>
      <c r="E28" s="112">
        <f>Assumptions!H40*E4</f>
        <v/>
      </c>
      <c r="F28" s="112">
        <f>Assumptions!H40*F4</f>
        <v/>
      </c>
      <c r="G28" s="112">
        <f>Assumptions!H40*G4</f>
        <v/>
      </c>
      <c r="H28" s="112">
        <f>Assumptions!H40*H4</f>
        <v/>
      </c>
      <c r="I28" s="112">
        <f>Assumptions!H40*I4</f>
        <v/>
      </c>
      <c r="J28" s="112">
        <f>Assumptions!H40*J4</f>
        <v/>
      </c>
      <c r="K28" s="112">
        <f>Assumptions!H40*K4</f>
        <v/>
      </c>
      <c r="L28" s="112">
        <f>Assumptions!H40*L4</f>
        <v/>
      </c>
      <c r="M28" s="112">
        <f>Assumptions!H40*M4</f>
        <v/>
      </c>
      <c r="N28" s="112">
        <f>Assumptions!H40*N4</f>
        <v/>
      </c>
      <c r="O28" s="102">
        <f>SUM(C28:N28)</f>
        <v/>
      </c>
      <c r="P28" s="112">
        <f>Assumptions!H40*P4</f>
        <v/>
      </c>
      <c r="Q28" s="112">
        <f>Assumptions!H40*Q4</f>
        <v/>
      </c>
      <c r="R28" s="112">
        <f>Assumptions!H40*R4</f>
        <v/>
      </c>
      <c r="S28" s="112">
        <f>Assumptions!H40*S4</f>
        <v/>
      </c>
      <c r="T28" s="112">
        <f>Assumptions!H40*T4</f>
        <v/>
      </c>
      <c r="U28" s="112">
        <f>Assumptions!H40*U4</f>
        <v/>
      </c>
      <c r="V28" s="112">
        <f>Assumptions!H40*V4</f>
        <v/>
      </c>
      <c r="W28" s="112">
        <f>Assumptions!H40*W4</f>
        <v/>
      </c>
      <c r="X28" s="112">
        <f>Assumptions!H40*X4</f>
        <v/>
      </c>
      <c r="Y28" s="112">
        <f>Assumptions!H40*Y4</f>
        <v/>
      </c>
      <c r="Z28" s="112">
        <f>Assumptions!H40*Z4</f>
        <v/>
      </c>
      <c r="AA28" s="112">
        <f>Assumptions!H40*AA4</f>
        <v/>
      </c>
      <c r="AB28" s="102">
        <f>SUM(P28:AA28)</f>
        <v/>
      </c>
      <c r="AC28" s="112">
        <f>Assumptions!H40*AC4</f>
        <v/>
      </c>
      <c r="AD28" s="112">
        <f>Assumptions!H40*AD4</f>
        <v/>
      </c>
      <c r="AE28" s="112">
        <f>Assumptions!H40*AE4</f>
        <v/>
      </c>
      <c r="AF28" s="112">
        <f>Assumptions!H40*AF4</f>
        <v/>
      </c>
      <c r="AG28" s="112">
        <f>Assumptions!H40*AG4</f>
        <v/>
      </c>
      <c r="AH28" s="112">
        <f>Assumptions!H40*AH4</f>
        <v/>
      </c>
      <c r="AI28" s="112">
        <f>Assumptions!H40*AI4</f>
        <v/>
      </c>
      <c r="AJ28" s="112">
        <f>Assumptions!H40*AJ4</f>
        <v/>
      </c>
      <c r="AK28" s="112">
        <f>Assumptions!H40*AK4</f>
        <v/>
      </c>
      <c r="AL28" s="112">
        <f>Assumptions!H40*AL4</f>
        <v/>
      </c>
      <c r="AM28" s="112">
        <f>Assumptions!H40*AM4</f>
        <v/>
      </c>
      <c r="AN28" s="112">
        <f>Assumptions!H40*AN4</f>
        <v/>
      </c>
      <c r="AO28" s="102">
        <f>SUM(AC28:AN28)</f>
        <v/>
      </c>
    </row>
    <row r="29" ht="15" customHeight="1" s="64">
      <c r="B29" s="80" t="inlineStr">
        <is>
          <t>Consulting &amp; Accounting</t>
        </is>
      </c>
      <c r="C29" s="112">
        <f>Assumptions!H41*C4</f>
        <v/>
      </c>
      <c r="D29" s="112">
        <f>Assumptions!H41*D4</f>
        <v/>
      </c>
      <c r="E29" s="112">
        <f>Assumptions!H41*E4</f>
        <v/>
      </c>
      <c r="F29" s="112">
        <f>Assumptions!H41*F4</f>
        <v/>
      </c>
      <c r="G29" s="112">
        <f>Assumptions!H41*G4</f>
        <v/>
      </c>
      <c r="H29" s="112">
        <f>Assumptions!H41*H4</f>
        <v/>
      </c>
      <c r="I29" s="112">
        <f>Assumptions!H41*I4</f>
        <v/>
      </c>
      <c r="J29" s="112">
        <f>Assumptions!H41*J4</f>
        <v/>
      </c>
      <c r="K29" s="112">
        <f>Assumptions!H41*K4</f>
        <v/>
      </c>
      <c r="L29" s="112">
        <f>Assumptions!H41*L4</f>
        <v/>
      </c>
      <c r="M29" s="112">
        <f>Assumptions!H41*M4</f>
        <v/>
      </c>
      <c r="N29" s="112">
        <f>Assumptions!H41*N4</f>
        <v/>
      </c>
      <c r="O29" s="102">
        <f>SUM(C29:N29)</f>
        <v/>
      </c>
      <c r="P29" s="112">
        <f>Assumptions!H41*P4</f>
        <v/>
      </c>
      <c r="Q29" s="112">
        <f>Assumptions!H41*Q4</f>
        <v/>
      </c>
      <c r="R29" s="112">
        <f>Assumptions!H41*R4</f>
        <v/>
      </c>
      <c r="S29" s="112">
        <f>Assumptions!H41*S4</f>
        <v/>
      </c>
      <c r="T29" s="112">
        <f>Assumptions!H41*T4</f>
        <v/>
      </c>
      <c r="U29" s="112">
        <f>Assumptions!H41*U4</f>
        <v/>
      </c>
      <c r="V29" s="112">
        <f>Assumptions!H41*V4</f>
        <v/>
      </c>
      <c r="W29" s="112">
        <f>Assumptions!H41*W4</f>
        <v/>
      </c>
      <c r="X29" s="112">
        <f>Assumptions!H41*X4</f>
        <v/>
      </c>
      <c r="Y29" s="112">
        <f>Assumptions!H41*Y4</f>
        <v/>
      </c>
      <c r="Z29" s="112">
        <f>Assumptions!H41*Z4</f>
        <v/>
      </c>
      <c r="AA29" s="112">
        <f>Assumptions!H41*AA4</f>
        <v/>
      </c>
      <c r="AB29" s="102">
        <f>SUM(P29:AA29)</f>
        <v/>
      </c>
      <c r="AC29" s="112">
        <f>Assumptions!H41*AC4</f>
        <v/>
      </c>
      <c r="AD29" s="112">
        <f>Assumptions!H41*AD4</f>
        <v/>
      </c>
      <c r="AE29" s="112">
        <f>Assumptions!H41*AE4</f>
        <v/>
      </c>
      <c r="AF29" s="112">
        <f>Assumptions!H41*AF4</f>
        <v/>
      </c>
      <c r="AG29" s="112">
        <f>Assumptions!H41*AG4</f>
        <v/>
      </c>
      <c r="AH29" s="112">
        <f>Assumptions!H41*AH4</f>
        <v/>
      </c>
      <c r="AI29" s="112">
        <f>Assumptions!H41*AI4</f>
        <v/>
      </c>
      <c r="AJ29" s="112">
        <f>Assumptions!H41*AJ4</f>
        <v/>
      </c>
      <c r="AK29" s="112">
        <f>Assumptions!H41*AK4</f>
        <v/>
      </c>
      <c r="AL29" s="112">
        <f>Assumptions!H41*AL4</f>
        <v/>
      </c>
      <c r="AM29" s="112">
        <f>Assumptions!H41*AM4</f>
        <v/>
      </c>
      <c r="AN29" s="112">
        <f>Assumptions!H41*AN4</f>
        <v/>
      </c>
      <c r="AO29" s="102">
        <f>SUM(AC29:AN29)</f>
        <v/>
      </c>
    </row>
    <row r="30" ht="15" customHeight="1" s="64">
      <c r="B30" s="80" t="inlineStr">
        <is>
          <t>Restaurant Supplies</t>
        </is>
      </c>
      <c r="C30" s="112">
        <f>Assumptions!H42*C4</f>
        <v/>
      </c>
      <c r="D30" s="112">
        <f>Assumptions!H42*D4</f>
        <v/>
      </c>
      <c r="E30" s="112">
        <f>Assumptions!H42*E4</f>
        <v/>
      </c>
      <c r="F30" s="112">
        <f>Assumptions!H42*F4</f>
        <v/>
      </c>
      <c r="G30" s="112">
        <f>Assumptions!H42*G4</f>
        <v/>
      </c>
      <c r="H30" s="112">
        <f>Assumptions!H42*H4</f>
        <v/>
      </c>
      <c r="I30" s="112">
        <f>Assumptions!H42*I4</f>
        <v/>
      </c>
      <c r="J30" s="112">
        <f>Assumptions!H42*J4</f>
        <v/>
      </c>
      <c r="K30" s="112">
        <f>Assumptions!H42*K4</f>
        <v/>
      </c>
      <c r="L30" s="112">
        <f>Assumptions!H42*L4</f>
        <v/>
      </c>
      <c r="M30" s="112">
        <f>Assumptions!H42*M4</f>
        <v/>
      </c>
      <c r="N30" s="112">
        <f>Assumptions!H42*N4</f>
        <v/>
      </c>
      <c r="O30" s="102">
        <f>SUM(C30:N30)</f>
        <v/>
      </c>
      <c r="P30" s="112">
        <f>Assumptions!H42*P4</f>
        <v/>
      </c>
      <c r="Q30" s="112">
        <f>Assumptions!H42*Q4</f>
        <v/>
      </c>
      <c r="R30" s="112">
        <f>Assumptions!H42*R4</f>
        <v/>
      </c>
      <c r="S30" s="112">
        <f>Assumptions!H42*S4</f>
        <v/>
      </c>
      <c r="T30" s="112">
        <f>Assumptions!H42*T4</f>
        <v/>
      </c>
      <c r="U30" s="112">
        <f>Assumptions!H42*U4</f>
        <v/>
      </c>
      <c r="V30" s="112">
        <f>Assumptions!H42*V4</f>
        <v/>
      </c>
      <c r="W30" s="112">
        <f>Assumptions!H42*W4</f>
        <v/>
      </c>
      <c r="X30" s="112">
        <f>Assumptions!H42*X4</f>
        <v/>
      </c>
      <c r="Y30" s="112">
        <f>Assumptions!H42*Y4</f>
        <v/>
      </c>
      <c r="Z30" s="112">
        <f>Assumptions!H42*Z4</f>
        <v/>
      </c>
      <c r="AA30" s="112">
        <f>Assumptions!H42*AA4</f>
        <v/>
      </c>
      <c r="AB30" s="102">
        <f>SUM(P30:AA30)</f>
        <v/>
      </c>
      <c r="AC30" s="112">
        <f>Assumptions!H42*AC4</f>
        <v/>
      </c>
      <c r="AD30" s="112">
        <f>Assumptions!H42*AD4</f>
        <v/>
      </c>
      <c r="AE30" s="112">
        <f>Assumptions!H42*AE4</f>
        <v/>
      </c>
      <c r="AF30" s="112">
        <f>Assumptions!H42*AF4</f>
        <v/>
      </c>
      <c r="AG30" s="112">
        <f>Assumptions!H42*AG4</f>
        <v/>
      </c>
      <c r="AH30" s="112">
        <f>Assumptions!H42*AH4</f>
        <v/>
      </c>
      <c r="AI30" s="112">
        <f>Assumptions!H42*AI4</f>
        <v/>
      </c>
      <c r="AJ30" s="112">
        <f>Assumptions!H42*AJ4</f>
        <v/>
      </c>
      <c r="AK30" s="112">
        <f>Assumptions!H42*AK4</f>
        <v/>
      </c>
      <c r="AL30" s="112">
        <f>Assumptions!H42*AL4</f>
        <v/>
      </c>
      <c r="AM30" s="112">
        <f>Assumptions!H42*AM4</f>
        <v/>
      </c>
      <c r="AN30" s="112">
        <f>Assumptions!H42*AN4</f>
        <v/>
      </c>
      <c r="AO30" s="102">
        <f>SUM(AC30:AN30)</f>
        <v/>
      </c>
    </row>
    <row r="31" ht="15" customHeight="1" s="64">
      <c r="B31" s="80" t="inlineStr">
        <is>
          <t>Subscriptions &amp; Telecom</t>
        </is>
      </c>
      <c r="C31" s="112">
        <f>Assumptions!H43*C4</f>
        <v/>
      </c>
      <c r="D31" s="112">
        <f>Assumptions!H43*D4</f>
        <v/>
      </c>
      <c r="E31" s="112">
        <f>Assumptions!H43*E4</f>
        <v/>
      </c>
      <c r="F31" s="112">
        <f>Assumptions!H43*F4</f>
        <v/>
      </c>
      <c r="G31" s="112">
        <f>Assumptions!H43*G4</f>
        <v/>
      </c>
      <c r="H31" s="112">
        <f>Assumptions!H43*H4</f>
        <v/>
      </c>
      <c r="I31" s="112">
        <f>Assumptions!H43*I4</f>
        <v/>
      </c>
      <c r="J31" s="112">
        <f>Assumptions!H43*J4</f>
        <v/>
      </c>
      <c r="K31" s="112">
        <f>Assumptions!H43*K4</f>
        <v/>
      </c>
      <c r="L31" s="112">
        <f>Assumptions!H43*L4</f>
        <v/>
      </c>
      <c r="M31" s="112">
        <f>Assumptions!H43*M4</f>
        <v/>
      </c>
      <c r="N31" s="112">
        <f>Assumptions!H43*N4</f>
        <v/>
      </c>
      <c r="O31" s="102">
        <f>SUM(C31:N31)</f>
        <v/>
      </c>
      <c r="P31" s="112">
        <f>Assumptions!H43*P4</f>
        <v/>
      </c>
      <c r="Q31" s="112">
        <f>Assumptions!H43*Q4</f>
        <v/>
      </c>
      <c r="R31" s="112">
        <f>Assumptions!H43*R4</f>
        <v/>
      </c>
      <c r="S31" s="112">
        <f>Assumptions!H43*S4</f>
        <v/>
      </c>
      <c r="T31" s="112">
        <f>Assumptions!H43*T4</f>
        <v/>
      </c>
      <c r="U31" s="112">
        <f>Assumptions!H43*U4</f>
        <v/>
      </c>
      <c r="V31" s="112">
        <f>Assumptions!H43*V4</f>
        <v/>
      </c>
      <c r="W31" s="112">
        <f>Assumptions!H43*W4</f>
        <v/>
      </c>
      <c r="X31" s="112">
        <f>Assumptions!H43*X4</f>
        <v/>
      </c>
      <c r="Y31" s="112">
        <f>Assumptions!H43*Y4</f>
        <v/>
      </c>
      <c r="Z31" s="112">
        <f>Assumptions!H43*Z4</f>
        <v/>
      </c>
      <c r="AA31" s="112">
        <f>Assumptions!H43*AA4</f>
        <v/>
      </c>
      <c r="AB31" s="102">
        <f>SUM(P31:AA31)</f>
        <v/>
      </c>
      <c r="AC31" s="112">
        <f>Assumptions!H43*AC4</f>
        <v/>
      </c>
      <c r="AD31" s="112">
        <f>Assumptions!H43*AD4</f>
        <v/>
      </c>
      <c r="AE31" s="112">
        <f>Assumptions!H43*AE4</f>
        <v/>
      </c>
      <c r="AF31" s="112">
        <f>Assumptions!H43*AF4</f>
        <v/>
      </c>
      <c r="AG31" s="112">
        <f>Assumptions!H43*AG4</f>
        <v/>
      </c>
      <c r="AH31" s="112">
        <f>Assumptions!H43*AH4</f>
        <v/>
      </c>
      <c r="AI31" s="112">
        <f>Assumptions!H43*AI4</f>
        <v/>
      </c>
      <c r="AJ31" s="112">
        <f>Assumptions!H43*AJ4</f>
        <v/>
      </c>
      <c r="AK31" s="112">
        <f>Assumptions!H43*AK4</f>
        <v/>
      </c>
      <c r="AL31" s="112">
        <f>Assumptions!H43*AL4</f>
        <v/>
      </c>
      <c r="AM31" s="112">
        <f>Assumptions!H43*AM4</f>
        <v/>
      </c>
      <c r="AN31" s="112">
        <f>Assumptions!H43*AN4</f>
        <v/>
      </c>
      <c r="AO31" s="102">
        <f>SUM(AC31:AN31)</f>
        <v/>
      </c>
    </row>
    <row r="32" ht="15" customHeight="1" s="64">
      <c r="B32" s="80" t="inlineStr">
        <is>
          <t>Other / Miscellaneous</t>
        </is>
      </c>
      <c r="C32" s="112">
        <f>Assumptions!H44*C4</f>
        <v/>
      </c>
      <c r="D32" s="112">
        <f>Assumptions!H44*D4</f>
        <v/>
      </c>
      <c r="E32" s="112">
        <f>Assumptions!H44*E4</f>
        <v/>
      </c>
      <c r="F32" s="112">
        <f>Assumptions!H44*F4</f>
        <v/>
      </c>
      <c r="G32" s="112">
        <f>Assumptions!H44*G4</f>
        <v/>
      </c>
      <c r="H32" s="112">
        <f>Assumptions!H44*H4</f>
        <v/>
      </c>
      <c r="I32" s="112">
        <f>Assumptions!H44*I4</f>
        <v/>
      </c>
      <c r="J32" s="112">
        <f>Assumptions!H44*J4</f>
        <v/>
      </c>
      <c r="K32" s="112">
        <f>Assumptions!H44*K4</f>
        <v/>
      </c>
      <c r="L32" s="112">
        <f>Assumptions!H44*L4</f>
        <v/>
      </c>
      <c r="M32" s="112">
        <f>Assumptions!H44*M4</f>
        <v/>
      </c>
      <c r="N32" s="112">
        <f>Assumptions!H44*N4</f>
        <v/>
      </c>
      <c r="O32" s="102">
        <f>SUM(C32:N32)</f>
        <v/>
      </c>
      <c r="P32" s="112">
        <f>Assumptions!H44*P4</f>
        <v/>
      </c>
      <c r="Q32" s="112">
        <f>Assumptions!H44*Q4</f>
        <v/>
      </c>
      <c r="R32" s="112">
        <f>Assumptions!H44*R4</f>
        <v/>
      </c>
      <c r="S32" s="112">
        <f>Assumptions!H44*S4</f>
        <v/>
      </c>
      <c r="T32" s="112">
        <f>Assumptions!H44*T4</f>
        <v/>
      </c>
      <c r="U32" s="112">
        <f>Assumptions!H44*U4</f>
        <v/>
      </c>
      <c r="V32" s="112">
        <f>Assumptions!H44*V4</f>
        <v/>
      </c>
      <c r="W32" s="112">
        <f>Assumptions!H44*W4</f>
        <v/>
      </c>
      <c r="X32" s="112">
        <f>Assumptions!H44*X4</f>
        <v/>
      </c>
      <c r="Y32" s="112">
        <f>Assumptions!H44*Y4</f>
        <v/>
      </c>
      <c r="Z32" s="112">
        <f>Assumptions!H44*Z4</f>
        <v/>
      </c>
      <c r="AA32" s="112">
        <f>Assumptions!H44*AA4</f>
        <v/>
      </c>
      <c r="AB32" s="102">
        <f>SUM(P32:AA32)</f>
        <v/>
      </c>
      <c r="AC32" s="112">
        <f>Assumptions!H44*AC4</f>
        <v/>
      </c>
      <c r="AD32" s="112">
        <f>Assumptions!H44*AD4</f>
        <v/>
      </c>
      <c r="AE32" s="112">
        <f>Assumptions!H44*AE4</f>
        <v/>
      </c>
      <c r="AF32" s="112">
        <f>Assumptions!H44*AF4</f>
        <v/>
      </c>
      <c r="AG32" s="112">
        <f>Assumptions!H44*AG4</f>
        <v/>
      </c>
      <c r="AH32" s="112">
        <f>Assumptions!H44*AH4</f>
        <v/>
      </c>
      <c r="AI32" s="112">
        <f>Assumptions!H44*AI4</f>
        <v/>
      </c>
      <c r="AJ32" s="112">
        <f>Assumptions!H44*AJ4</f>
        <v/>
      </c>
      <c r="AK32" s="112">
        <f>Assumptions!H44*AK4</f>
        <v/>
      </c>
      <c r="AL32" s="112">
        <f>Assumptions!H44*AL4</f>
        <v/>
      </c>
      <c r="AM32" s="112">
        <f>Assumptions!H44*AM4</f>
        <v/>
      </c>
      <c r="AN32" s="112">
        <f>Assumptions!H44*AN4</f>
        <v/>
      </c>
      <c r="AO32" s="102">
        <f>SUM(AC32:AN32)</f>
        <v/>
      </c>
    </row>
    <row r="33"/>
    <row r="34" ht="15" customHeight="1" s="64">
      <c r="B34" s="89" t="inlineStr">
        <is>
          <t>TOTAL OPERATING EXPENSES</t>
        </is>
      </c>
      <c r="C34" s="103">
        <f>C8+C9+C10+C11+C14+C15+C16+C17+C20+C21+C22+C23+C24+C27+C28+C29+C30+C31+C32</f>
        <v/>
      </c>
      <c r="D34" s="103">
        <f>D8+D9+D10+D11+D14+D15+D16+D17+D20+D21+D22+D23+D24+D27+D28+D29+D30+D31+D32</f>
        <v/>
      </c>
      <c r="E34" s="103">
        <f>E8+E9+E10+E11+E14+E15+E16+E17+E20+E21+E22+E23+E24+E27+E28+E29+E30+E31+E32</f>
        <v/>
      </c>
      <c r="F34" s="103">
        <f>F8+F9+F10+F11+F14+F15+F16+F17+F20+F21+F22+F23+F24+F27+F28+F29+F30+F31+F32</f>
        <v/>
      </c>
      <c r="G34" s="103">
        <f>G8+G9+G10+G11+G14+G15+G16+G17+G20+G21+G22+G23+G24+G27+G28+G29+G30+G31+G32</f>
        <v/>
      </c>
      <c r="H34" s="103">
        <f>H8+H9+H10+H11+H14+H15+H16+H17+H20+H21+H22+H23+H24+H27+H28+H29+H30+H31+H32</f>
        <v/>
      </c>
      <c r="I34" s="103">
        <f>I8+I9+I10+I11+I14+I15+I16+I17+I20+I21+I22+I23+I24+I27+I28+I29+I30+I31+I32</f>
        <v/>
      </c>
      <c r="J34" s="103">
        <f>J8+J9+J10+J11+J14+J15+J16+J17+J20+J21+J22+J23+J24+J27+J28+J29+J30+J31+J32</f>
        <v/>
      </c>
      <c r="K34" s="103">
        <f>K8+K9+K10+K11+K14+K15+K16+K17+K20+K21+K22+K23+K24+K27+K28+K29+K30+K31+K32</f>
        <v/>
      </c>
      <c r="L34" s="103">
        <f>L8+L9+L10+L11+L14+L15+L16+L17+L20+L21+L22+L23+L24+L27+L28+L29+L30+L31+L32</f>
        <v/>
      </c>
      <c r="M34" s="103">
        <f>M8+M9+M10+M11+M14+M15+M16+M17+M20+M21+M22+M23+M24+M27+M28+M29+M30+M31+M32</f>
        <v/>
      </c>
      <c r="N34" s="103">
        <f>N8+N9+N10+N11+N14+N15+N16+N17+N20+N21+N22+N23+N24+N27+N28+N29+N30+N31+N32</f>
        <v/>
      </c>
      <c r="O34" s="102">
        <f>SUM(C34:N34)</f>
        <v/>
      </c>
      <c r="P34" s="103">
        <f>P8+P9+P10+P11+P14+P15+P16+P17+P20+P21+P22+P23+P24+P27+P28+P29+P30+P31+P32</f>
        <v/>
      </c>
      <c r="Q34" s="103">
        <f>Q8+Q9+Q10+Q11+Q14+Q15+Q16+Q17+Q20+Q21+Q22+Q23+Q24+Q27+Q28+Q29+Q30+Q31+Q32</f>
        <v/>
      </c>
      <c r="R34" s="103">
        <f>R8+R9+R10+R11+R14+R15+R16+R17+R20+R21+R22+R23+R24+R27+R28+R29+R30+R31+R32</f>
        <v/>
      </c>
      <c r="S34" s="103">
        <f>S8+S9+S10+S11+S14+S15+S16+S17+S20+S21+S22+S23+S24+S27+S28+S29+S30+S31+S32</f>
        <v/>
      </c>
      <c r="T34" s="103">
        <f>T8+T9+T10+T11+T14+T15+T16+T17+T20+T21+T22+T23+T24+T27+T28+T29+T30+T31+T32</f>
        <v/>
      </c>
      <c r="U34" s="103">
        <f>U8+U9+U10+U11+U14+U15+U16+U17+U20+U21+U22+U23+U24+U27+U28+U29+U30+U31+U32</f>
        <v/>
      </c>
      <c r="V34" s="103">
        <f>V8+V9+V10+V11+V14+V15+V16+V17+V20+V21+V22+V23+V24+V27+V28+V29+V30+V31+V32</f>
        <v/>
      </c>
      <c r="W34" s="103">
        <f>W8+W9+W10+W11+W14+W15+W16+W17+W20+W21+W22+W23+W24+W27+W28+W29+W30+W31+W32</f>
        <v/>
      </c>
      <c r="X34" s="103">
        <f>X8+X9+X10+X11+X14+X15+X16+X17+X20+X21+X22+X23+X24+X27+X28+X29+X30+X31+X32</f>
        <v/>
      </c>
      <c r="Y34" s="103">
        <f>Y8+Y9+Y10+Y11+Y14+Y15+Y16+Y17+Y20+Y21+Y22+Y23+Y24+Y27+Y28+Y29+Y30+Y31+Y32</f>
        <v/>
      </c>
      <c r="Z34" s="103">
        <f>Z8+Z9+Z10+Z11+Z14+Z15+Z16+Z17+Z20+Z21+Z22+Z23+Z24+Z27+Z28+Z29+Z30+Z31+Z32</f>
        <v/>
      </c>
      <c r="AA34" s="103">
        <f>AA8+AA9+AA10+AA11+AA14+AA15+AA16+AA17+AA20+AA21+AA22+AA23+AA24+AA27+AA28+AA29+AA30+AA31+AA32</f>
        <v/>
      </c>
      <c r="AB34" s="102">
        <f>SUM(P34:AA34)</f>
        <v/>
      </c>
      <c r="AC34" s="103">
        <f>AC8+AC9+AC10+AC11+AC14+AC15+AC16+AC17+AC20+AC21+AC22+AC23+AC24+AC27+AC28+AC29+AC30+AC31+AC32</f>
        <v/>
      </c>
      <c r="AD34" s="103">
        <f>AD8+AD9+AD10+AD11+AD14+AD15+AD16+AD17+AD20+AD21+AD22+AD23+AD24+AD27+AD28+AD29+AD30+AD31+AD32</f>
        <v/>
      </c>
      <c r="AE34" s="103">
        <f>AE8+AE9+AE10+AE11+AE14+AE15+AE16+AE17+AE20+AE21+AE22+AE23+AE24+AE27+AE28+AE29+AE30+AE31+AE32</f>
        <v/>
      </c>
      <c r="AF34" s="103">
        <f>AF8+AF9+AF10+AF11+AF14+AF15+AF16+AF17+AF20+AF21+AF22+AF23+AF24+AF27+AF28+AF29+AF30+AF31+AF32</f>
        <v/>
      </c>
      <c r="AG34" s="103">
        <f>AG8+AG9+AG10+AG11+AG14+AG15+AG16+AG17+AG20+AG21+AG22+AG23+AG24+AG27+AG28+AG29+AG30+AG31+AG32</f>
        <v/>
      </c>
      <c r="AH34" s="103">
        <f>AH8+AH9+AH10+AH11+AH14+AH15+AH16+AH17+AH20+AH21+AH22+AH23+AH24+AH27+AH28+AH29+AH30+AH31+AH32</f>
        <v/>
      </c>
      <c r="AI34" s="103">
        <f>AI8+AI9+AI10+AI11+AI14+AI15+AI16+AI17+AI20+AI21+AI22+AI23+AI24+AI27+AI28+AI29+AI30+AI31+AI32</f>
        <v/>
      </c>
      <c r="AJ34" s="103">
        <f>AJ8+AJ9+AJ10+AJ11+AJ14+AJ15+AJ16+AJ17+AJ20+AJ21+AJ22+AJ23+AJ24+AJ27+AJ28+AJ29+AJ30+AJ31+AJ32</f>
        <v/>
      </c>
      <c r="AK34" s="103">
        <f>AK8+AK9+AK10+AK11+AK14+AK15+AK16+AK17+AK20+AK21+AK22+AK23+AK24+AK27+AK28+AK29+AK30+AK31+AK32</f>
        <v/>
      </c>
      <c r="AL34" s="103">
        <f>AL8+AL9+AL10+AL11+AL14+AL15+AL16+AL17+AL20+AL21+AL22+AL23+AL24+AL27+AL28+AL29+AL30+AL31+AL32</f>
        <v/>
      </c>
      <c r="AM34" s="103">
        <f>AM8+AM9+AM10+AM11+AM14+AM15+AM16+AM17+AM20+AM21+AM22+AM23+AM24+AM27+AM28+AM29+AM30+AM31+AM32</f>
        <v/>
      </c>
      <c r="AN34" s="103">
        <f>AN8+AN9+AN10+AN11+AN14+AN15+AN16+AN17+AN20+AN21+AN22+AN23+AN24+AN27+AN28+AN29+AN30+AN31+AN32</f>
        <v/>
      </c>
      <c r="AO34" s="102">
        <f>SUM(AC34:AN34)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AR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38" customWidth="1" style="63" min="2" max="2"/>
    <col width="13" customWidth="1" style="63" min="3" max="49"/>
  </cols>
  <sheetData>
    <row r="1" ht="17.25" customHeight="1" s="64">
      <c r="B1" s="76" t="inlineStr">
        <is>
          <t>PROFIT &amp; LOSS STATEMENT</t>
        </is>
      </c>
    </row>
    <row r="2" ht="15" customHeight="1" s="64">
      <c r="B2" s="74" t="inlineStr">
        <is>
          <t>Project Chinois — Chinese Wine Bistro</t>
        </is>
      </c>
    </row>
    <row r="3"/>
    <row r="4" ht="15" customHeight="1" s="64">
      <c r="C4" s="94" t="inlineStr">
        <is>
          <t>M1</t>
        </is>
      </c>
      <c r="D4" s="94" t="inlineStr">
        <is>
          <t>M2</t>
        </is>
      </c>
      <c r="E4" s="94" t="inlineStr">
        <is>
          <t>M3</t>
        </is>
      </c>
      <c r="F4" s="94" t="inlineStr">
        <is>
          <t>M4</t>
        </is>
      </c>
      <c r="G4" s="94" t="inlineStr">
        <is>
          <t>M5</t>
        </is>
      </c>
      <c r="H4" s="94" t="inlineStr">
        <is>
          <t>M6</t>
        </is>
      </c>
      <c r="I4" s="94" t="inlineStr">
        <is>
          <t>M7</t>
        </is>
      </c>
      <c r="J4" s="94" t="inlineStr">
        <is>
          <t>M8</t>
        </is>
      </c>
      <c r="K4" s="94" t="inlineStr">
        <is>
          <t>M9</t>
        </is>
      </c>
      <c r="L4" s="94" t="inlineStr">
        <is>
          <t>M10</t>
        </is>
      </c>
      <c r="M4" s="94" t="inlineStr">
        <is>
          <t>M11</t>
        </is>
      </c>
      <c r="N4" s="94" t="inlineStr">
        <is>
          <t>M12</t>
        </is>
      </c>
      <c r="O4" s="94" t="inlineStr">
        <is>
          <t>Year 1</t>
        </is>
      </c>
      <c r="P4" s="94" t="inlineStr">
        <is>
          <t>M13</t>
        </is>
      </c>
      <c r="Q4" s="94" t="inlineStr">
        <is>
          <t>M14</t>
        </is>
      </c>
      <c r="R4" s="94" t="inlineStr">
        <is>
          <t>M15</t>
        </is>
      </c>
      <c r="S4" s="94" t="inlineStr">
        <is>
          <t>M16</t>
        </is>
      </c>
      <c r="T4" s="94" t="inlineStr">
        <is>
          <t>M17</t>
        </is>
      </c>
      <c r="U4" s="94" t="inlineStr">
        <is>
          <t>M18</t>
        </is>
      </c>
      <c r="V4" s="94" t="inlineStr">
        <is>
          <t>M19</t>
        </is>
      </c>
      <c r="W4" s="94" t="inlineStr">
        <is>
          <t>M20</t>
        </is>
      </c>
      <c r="X4" s="94" t="inlineStr">
        <is>
          <t>M21</t>
        </is>
      </c>
      <c r="Y4" s="94" t="inlineStr">
        <is>
          <t>M22</t>
        </is>
      </c>
      <c r="Z4" s="94" t="inlineStr">
        <is>
          <t>M23</t>
        </is>
      </c>
      <c r="AA4" s="94" t="inlineStr">
        <is>
          <t>M24</t>
        </is>
      </c>
      <c r="AB4" s="94" t="inlineStr">
        <is>
          <t>Year 2</t>
        </is>
      </c>
      <c r="AC4" s="94" t="inlineStr">
        <is>
          <t>M25</t>
        </is>
      </c>
      <c r="AD4" s="94" t="inlineStr">
        <is>
          <t>M26</t>
        </is>
      </c>
      <c r="AE4" s="94" t="inlineStr">
        <is>
          <t>M27</t>
        </is>
      </c>
      <c r="AF4" s="94" t="inlineStr">
        <is>
          <t>M28</t>
        </is>
      </c>
      <c r="AG4" s="94" t="inlineStr">
        <is>
          <t>M29</t>
        </is>
      </c>
      <c r="AH4" s="94" t="inlineStr">
        <is>
          <t>M30</t>
        </is>
      </c>
      <c r="AI4" s="94" t="inlineStr">
        <is>
          <t>M31</t>
        </is>
      </c>
      <c r="AJ4" s="94" t="inlineStr">
        <is>
          <t>M32</t>
        </is>
      </c>
      <c r="AK4" s="94" t="inlineStr">
        <is>
          <t>M33</t>
        </is>
      </c>
      <c r="AL4" s="94" t="inlineStr">
        <is>
          <t>M34</t>
        </is>
      </c>
      <c r="AM4" s="94" t="inlineStr">
        <is>
          <t>M35</t>
        </is>
      </c>
      <c r="AN4" s="94" t="inlineStr">
        <is>
          <t>M36</t>
        </is>
      </c>
      <c r="AO4" s="94" t="inlineStr">
        <is>
          <t>Year 3</t>
        </is>
      </c>
    </row>
    <row r="5"/>
    <row r="6" ht="15" customHeight="1" s="64">
      <c r="B6" s="70" t="inlineStr">
        <is>
          <t>Net Revenue</t>
        </is>
      </c>
      <c r="C6" s="102">
        <f>Revenue!C30</f>
        <v/>
      </c>
      <c r="D6" s="102">
        <f>Revenue!D30</f>
        <v/>
      </c>
      <c r="E6" s="102">
        <f>Revenue!E30</f>
        <v/>
      </c>
      <c r="F6" s="102">
        <f>Revenue!F30</f>
        <v/>
      </c>
      <c r="G6" s="102">
        <f>Revenue!G30</f>
        <v/>
      </c>
      <c r="H6" s="102">
        <f>Revenue!H30</f>
        <v/>
      </c>
      <c r="I6" s="102">
        <f>Revenue!I30</f>
        <v/>
      </c>
      <c r="J6" s="102">
        <f>Revenue!J30</f>
        <v/>
      </c>
      <c r="K6" s="102">
        <f>Revenue!K30</f>
        <v/>
      </c>
      <c r="L6" s="102">
        <f>Revenue!L30</f>
        <v/>
      </c>
      <c r="M6" s="102">
        <f>Revenue!M30</f>
        <v/>
      </c>
      <c r="N6" s="102">
        <f>Revenue!N30</f>
        <v/>
      </c>
      <c r="O6" s="102">
        <f>SUM(C6:N6)</f>
        <v/>
      </c>
      <c r="P6" s="102">
        <f>Revenue!P30</f>
        <v/>
      </c>
      <c r="Q6" s="102">
        <f>Revenue!Q30</f>
        <v/>
      </c>
      <c r="R6" s="102">
        <f>Revenue!R30</f>
        <v/>
      </c>
      <c r="S6" s="102">
        <f>Revenue!S30</f>
        <v/>
      </c>
      <c r="T6" s="102">
        <f>Revenue!T30</f>
        <v/>
      </c>
      <c r="U6" s="102">
        <f>Revenue!U30</f>
        <v/>
      </c>
      <c r="V6" s="102">
        <f>Revenue!V30</f>
        <v/>
      </c>
      <c r="W6" s="102">
        <f>Revenue!W30</f>
        <v/>
      </c>
      <c r="X6" s="102">
        <f>Revenue!X30</f>
        <v/>
      </c>
      <c r="Y6" s="102">
        <f>Revenue!Y30</f>
        <v/>
      </c>
      <c r="Z6" s="102">
        <f>Revenue!Z30</f>
        <v/>
      </c>
      <c r="AA6" s="102">
        <f>Revenue!AA30</f>
        <v/>
      </c>
      <c r="AB6" s="102">
        <f>SUM(P6:AA6)</f>
        <v/>
      </c>
      <c r="AC6" s="102">
        <f>Revenue!AC30</f>
        <v/>
      </c>
      <c r="AD6" s="102">
        <f>Revenue!AD30</f>
        <v/>
      </c>
      <c r="AE6" s="102">
        <f>Revenue!AE30</f>
        <v/>
      </c>
      <c r="AF6" s="102">
        <f>Revenue!AF30</f>
        <v/>
      </c>
      <c r="AG6" s="102">
        <f>Revenue!AG30</f>
        <v/>
      </c>
      <c r="AH6" s="102">
        <f>Revenue!AH30</f>
        <v/>
      </c>
      <c r="AI6" s="102">
        <f>Revenue!AI30</f>
        <v/>
      </c>
      <c r="AJ6" s="102">
        <f>Revenue!AJ30</f>
        <v/>
      </c>
      <c r="AK6" s="102">
        <f>Revenue!AK30</f>
        <v/>
      </c>
      <c r="AL6" s="102">
        <f>Revenue!AL30</f>
        <v/>
      </c>
      <c r="AM6" s="102">
        <f>Revenue!AM30</f>
        <v/>
      </c>
      <c r="AN6" s="102">
        <f>Revenue!AN30</f>
        <v/>
      </c>
      <c r="AO6" s="102">
        <f>SUM(AC6:AN6)</f>
        <v/>
      </c>
    </row>
    <row r="7" ht="15" customHeight="1" s="64">
      <c r="B7" s="80" t="inlineStr">
        <is>
          <t xml:space="preserve">  Food Revenue</t>
        </is>
      </c>
      <c r="C7" s="101">
        <f>Revenue!C35</f>
        <v/>
      </c>
      <c r="D7" s="101">
        <f>Revenue!D35</f>
        <v/>
      </c>
      <c r="E7" s="101">
        <f>Revenue!E35</f>
        <v/>
      </c>
      <c r="F7" s="101">
        <f>Revenue!F35</f>
        <v/>
      </c>
      <c r="G7" s="101">
        <f>Revenue!G35</f>
        <v/>
      </c>
      <c r="H7" s="101">
        <f>Revenue!H35</f>
        <v/>
      </c>
      <c r="I7" s="101">
        <f>Revenue!I35</f>
        <v/>
      </c>
      <c r="J7" s="101">
        <f>Revenue!J35</f>
        <v/>
      </c>
      <c r="K7" s="101">
        <f>Revenue!K35</f>
        <v/>
      </c>
      <c r="L7" s="101">
        <f>Revenue!L35</f>
        <v/>
      </c>
      <c r="M7" s="101">
        <f>Revenue!M35</f>
        <v/>
      </c>
      <c r="N7" s="101">
        <f>Revenue!N35</f>
        <v/>
      </c>
      <c r="O7" s="101">
        <f>SUM(C7:N7)</f>
        <v/>
      </c>
      <c r="P7" s="101">
        <f>Revenue!P35</f>
        <v/>
      </c>
      <c r="Q7" s="101">
        <f>Revenue!Q35</f>
        <v/>
      </c>
      <c r="R7" s="101">
        <f>Revenue!R35</f>
        <v/>
      </c>
      <c r="S7" s="101">
        <f>Revenue!S35</f>
        <v/>
      </c>
      <c r="T7" s="101">
        <f>Revenue!T35</f>
        <v/>
      </c>
      <c r="U7" s="101">
        <f>Revenue!U35</f>
        <v/>
      </c>
      <c r="V7" s="101">
        <f>Revenue!V35</f>
        <v/>
      </c>
      <c r="W7" s="101">
        <f>Revenue!W35</f>
        <v/>
      </c>
      <c r="X7" s="101">
        <f>Revenue!X35</f>
        <v/>
      </c>
      <c r="Y7" s="101">
        <f>Revenue!Y35</f>
        <v/>
      </c>
      <c r="Z7" s="101">
        <f>Revenue!Z35</f>
        <v/>
      </c>
      <c r="AA7" s="101">
        <f>Revenue!AA35</f>
        <v/>
      </c>
      <c r="AB7" s="101">
        <f>SUM(P7:AA7)</f>
        <v/>
      </c>
      <c r="AC7" s="101">
        <f>Revenue!AC35</f>
        <v/>
      </c>
      <c r="AD7" s="101">
        <f>Revenue!AD35</f>
        <v/>
      </c>
      <c r="AE7" s="101">
        <f>Revenue!AE35</f>
        <v/>
      </c>
      <c r="AF7" s="101">
        <f>Revenue!AF35</f>
        <v/>
      </c>
      <c r="AG7" s="101">
        <f>Revenue!AG35</f>
        <v/>
      </c>
      <c r="AH7" s="101">
        <f>Revenue!AH35</f>
        <v/>
      </c>
      <c r="AI7" s="101">
        <f>Revenue!AI35</f>
        <v/>
      </c>
      <c r="AJ7" s="101">
        <f>Revenue!AJ35</f>
        <v/>
      </c>
      <c r="AK7" s="101">
        <f>Revenue!AK35</f>
        <v/>
      </c>
      <c r="AL7" s="101">
        <f>Revenue!AL35</f>
        <v/>
      </c>
      <c r="AM7" s="101">
        <f>Revenue!AM35</f>
        <v/>
      </c>
      <c r="AN7" s="101">
        <f>Revenue!AN35</f>
        <v/>
      </c>
      <c r="AO7" s="101">
        <f>SUM(AC7:AN7)</f>
        <v/>
      </c>
    </row>
    <row r="8" ht="15" customHeight="1" s="64">
      <c r="B8" s="80" t="inlineStr">
        <is>
          <t xml:space="preserve">  Wine / Beverage Revenue</t>
        </is>
      </c>
      <c r="C8" s="101">
        <f>Revenue!C38</f>
        <v/>
      </c>
      <c r="D8" s="101">
        <f>Revenue!D38</f>
        <v/>
      </c>
      <c r="E8" s="101">
        <f>Revenue!E38</f>
        <v/>
      </c>
      <c r="F8" s="101">
        <f>Revenue!F38</f>
        <v/>
      </c>
      <c r="G8" s="101">
        <f>Revenue!G38</f>
        <v/>
      </c>
      <c r="H8" s="101">
        <f>Revenue!H38</f>
        <v/>
      </c>
      <c r="I8" s="101">
        <f>Revenue!I38</f>
        <v/>
      </c>
      <c r="J8" s="101">
        <f>Revenue!J38</f>
        <v/>
      </c>
      <c r="K8" s="101">
        <f>Revenue!K38</f>
        <v/>
      </c>
      <c r="L8" s="101">
        <f>Revenue!L38</f>
        <v/>
      </c>
      <c r="M8" s="101">
        <f>Revenue!M38</f>
        <v/>
      </c>
      <c r="N8" s="101">
        <f>Revenue!N38</f>
        <v/>
      </c>
      <c r="O8" s="101">
        <f>SUM(C8:N8)</f>
        <v/>
      </c>
      <c r="P8" s="101">
        <f>Revenue!P38</f>
        <v/>
      </c>
      <c r="Q8" s="101">
        <f>Revenue!Q38</f>
        <v/>
      </c>
      <c r="R8" s="101">
        <f>Revenue!R38</f>
        <v/>
      </c>
      <c r="S8" s="101">
        <f>Revenue!S38</f>
        <v/>
      </c>
      <c r="T8" s="101">
        <f>Revenue!T38</f>
        <v/>
      </c>
      <c r="U8" s="101">
        <f>Revenue!U38</f>
        <v/>
      </c>
      <c r="V8" s="101">
        <f>Revenue!V38</f>
        <v/>
      </c>
      <c r="W8" s="101">
        <f>Revenue!W38</f>
        <v/>
      </c>
      <c r="X8" s="101">
        <f>Revenue!X38</f>
        <v/>
      </c>
      <c r="Y8" s="101">
        <f>Revenue!Y38</f>
        <v/>
      </c>
      <c r="Z8" s="101">
        <f>Revenue!Z38</f>
        <v/>
      </c>
      <c r="AA8" s="101">
        <f>Revenue!AA38</f>
        <v/>
      </c>
      <c r="AB8" s="101">
        <f>SUM(P8:AA8)</f>
        <v/>
      </c>
      <c r="AC8" s="101">
        <f>Revenue!AC38</f>
        <v/>
      </c>
      <c r="AD8" s="101">
        <f>Revenue!AD38</f>
        <v/>
      </c>
      <c r="AE8" s="101">
        <f>Revenue!AE38</f>
        <v/>
      </c>
      <c r="AF8" s="101">
        <f>Revenue!AF38</f>
        <v/>
      </c>
      <c r="AG8" s="101">
        <f>Revenue!AG38</f>
        <v/>
      </c>
      <c r="AH8" s="101">
        <f>Revenue!AH38</f>
        <v/>
      </c>
      <c r="AI8" s="101">
        <f>Revenue!AI38</f>
        <v/>
      </c>
      <c r="AJ8" s="101">
        <f>Revenue!AJ38</f>
        <v/>
      </c>
      <c r="AK8" s="101">
        <f>Revenue!AK38</f>
        <v/>
      </c>
      <c r="AL8" s="101">
        <f>Revenue!AL38</f>
        <v/>
      </c>
      <c r="AM8" s="101">
        <f>Revenue!AM38</f>
        <v/>
      </c>
      <c r="AN8" s="101">
        <f>Revenue!AN38</f>
        <v/>
      </c>
      <c r="AO8" s="101">
        <f>SUM(AC8:AN8)</f>
        <v/>
      </c>
    </row>
    <row r="9" ht="15" customHeight="1" s="64">
      <c r="B9" s="80" t="inlineStr">
        <is>
          <t xml:space="preserve">  Service Charge</t>
        </is>
      </c>
      <c r="C9" s="101">
        <f>Revenue!C28</f>
        <v/>
      </c>
      <c r="D9" s="101">
        <f>Revenue!D28</f>
        <v/>
      </c>
      <c r="E9" s="101">
        <f>Revenue!E28</f>
        <v/>
      </c>
      <c r="F9" s="101">
        <f>Revenue!F28</f>
        <v/>
      </c>
      <c r="G9" s="101">
        <f>Revenue!G28</f>
        <v/>
      </c>
      <c r="H9" s="101">
        <f>Revenue!H28</f>
        <v/>
      </c>
      <c r="I9" s="101">
        <f>Revenue!I28</f>
        <v/>
      </c>
      <c r="J9" s="101">
        <f>Revenue!J28</f>
        <v/>
      </c>
      <c r="K9" s="101">
        <f>Revenue!K28</f>
        <v/>
      </c>
      <c r="L9" s="101">
        <f>Revenue!L28</f>
        <v/>
      </c>
      <c r="M9" s="101">
        <f>Revenue!M28</f>
        <v/>
      </c>
      <c r="N9" s="101">
        <f>Revenue!N28</f>
        <v/>
      </c>
      <c r="O9" s="101">
        <f>SUM(C9:N9)</f>
        <v/>
      </c>
      <c r="P9" s="101">
        <f>Revenue!P28</f>
        <v/>
      </c>
      <c r="Q9" s="101">
        <f>Revenue!Q28</f>
        <v/>
      </c>
      <c r="R9" s="101">
        <f>Revenue!R28</f>
        <v/>
      </c>
      <c r="S9" s="101">
        <f>Revenue!S28</f>
        <v/>
      </c>
      <c r="T9" s="101">
        <f>Revenue!T28</f>
        <v/>
      </c>
      <c r="U9" s="101">
        <f>Revenue!U28</f>
        <v/>
      </c>
      <c r="V9" s="101">
        <f>Revenue!V28</f>
        <v/>
      </c>
      <c r="W9" s="101">
        <f>Revenue!W28</f>
        <v/>
      </c>
      <c r="X9" s="101">
        <f>Revenue!X28</f>
        <v/>
      </c>
      <c r="Y9" s="101">
        <f>Revenue!Y28</f>
        <v/>
      </c>
      <c r="Z9" s="101">
        <f>Revenue!Z28</f>
        <v/>
      </c>
      <c r="AA9" s="101">
        <f>Revenue!AA28</f>
        <v/>
      </c>
      <c r="AB9" s="101">
        <f>SUM(P9:AA9)</f>
        <v/>
      </c>
      <c r="AC9" s="101">
        <f>Revenue!AC28</f>
        <v/>
      </c>
      <c r="AD9" s="101">
        <f>Revenue!AD28</f>
        <v/>
      </c>
      <c r="AE9" s="101">
        <f>Revenue!AE28</f>
        <v/>
      </c>
      <c r="AF9" s="101">
        <f>Revenue!AF28</f>
        <v/>
      </c>
      <c r="AG9" s="101">
        <f>Revenue!AG28</f>
        <v/>
      </c>
      <c r="AH9" s="101">
        <f>Revenue!AH28</f>
        <v/>
      </c>
      <c r="AI9" s="101">
        <f>Revenue!AI28</f>
        <v/>
      </c>
      <c r="AJ9" s="101">
        <f>Revenue!AJ28</f>
        <v/>
      </c>
      <c r="AK9" s="101">
        <f>Revenue!AK28</f>
        <v/>
      </c>
      <c r="AL9" s="101">
        <f>Revenue!AL28</f>
        <v/>
      </c>
      <c r="AM9" s="101">
        <f>Revenue!AM28</f>
        <v/>
      </c>
      <c r="AN9" s="101">
        <f>Revenue!AN28</f>
        <v/>
      </c>
      <c r="AO9" s="101">
        <f>SUM(AC9:AN9)</f>
        <v/>
      </c>
    </row>
    <row r="10"/>
    <row r="11" ht="15" customHeight="1" s="64">
      <c r="B11" s="80" t="inlineStr">
        <is>
          <t>Cost of Goods Sold</t>
        </is>
      </c>
      <c r="C11" s="101">
        <f>COGS!C8</f>
        <v/>
      </c>
      <c r="D11" s="101">
        <f>COGS!D8</f>
        <v/>
      </c>
      <c r="E11" s="101">
        <f>COGS!E8</f>
        <v/>
      </c>
      <c r="F11" s="101">
        <f>COGS!F8</f>
        <v/>
      </c>
      <c r="G11" s="101">
        <f>COGS!G8</f>
        <v/>
      </c>
      <c r="H11" s="101">
        <f>COGS!H8</f>
        <v/>
      </c>
      <c r="I11" s="101">
        <f>COGS!I8</f>
        <v/>
      </c>
      <c r="J11" s="101">
        <f>COGS!J8</f>
        <v/>
      </c>
      <c r="K11" s="101">
        <f>COGS!K8</f>
        <v/>
      </c>
      <c r="L11" s="101">
        <f>COGS!L8</f>
        <v/>
      </c>
      <c r="M11" s="101">
        <f>COGS!M8</f>
        <v/>
      </c>
      <c r="N11" s="101">
        <f>COGS!N8</f>
        <v/>
      </c>
      <c r="O11" s="101">
        <f>SUM(C11:N11)</f>
        <v/>
      </c>
      <c r="P11" s="101">
        <f>COGS!P8</f>
        <v/>
      </c>
      <c r="Q11" s="101">
        <f>COGS!Q8</f>
        <v/>
      </c>
      <c r="R11" s="101">
        <f>COGS!R8</f>
        <v/>
      </c>
      <c r="S11" s="101">
        <f>COGS!S8</f>
        <v/>
      </c>
      <c r="T11" s="101">
        <f>COGS!T8</f>
        <v/>
      </c>
      <c r="U11" s="101">
        <f>COGS!U8</f>
        <v/>
      </c>
      <c r="V11" s="101">
        <f>COGS!V8</f>
        <v/>
      </c>
      <c r="W11" s="101">
        <f>COGS!W8</f>
        <v/>
      </c>
      <c r="X11" s="101">
        <f>COGS!X8</f>
        <v/>
      </c>
      <c r="Y11" s="101">
        <f>COGS!Y8</f>
        <v/>
      </c>
      <c r="Z11" s="101">
        <f>COGS!Z8</f>
        <v/>
      </c>
      <c r="AA11" s="101">
        <f>COGS!AA8</f>
        <v/>
      </c>
      <c r="AB11" s="101">
        <f>SUM(P11:AA11)</f>
        <v/>
      </c>
      <c r="AC11" s="101">
        <f>COGS!AC8</f>
        <v/>
      </c>
      <c r="AD11" s="101">
        <f>COGS!AD8</f>
        <v/>
      </c>
      <c r="AE11" s="101">
        <f>COGS!AE8</f>
        <v/>
      </c>
      <c r="AF11" s="101">
        <f>COGS!AF8</f>
        <v/>
      </c>
      <c r="AG11" s="101">
        <f>COGS!AG8</f>
        <v/>
      </c>
      <c r="AH11" s="101">
        <f>COGS!AH8</f>
        <v/>
      </c>
      <c r="AI11" s="101">
        <f>COGS!AI8</f>
        <v/>
      </c>
      <c r="AJ11" s="101">
        <f>COGS!AJ8</f>
        <v/>
      </c>
      <c r="AK11" s="101">
        <f>COGS!AK8</f>
        <v/>
      </c>
      <c r="AL11" s="101">
        <f>COGS!AL8</f>
        <v/>
      </c>
      <c r="AM11" s="101">
        <f>COGS!AM8</f>
        <v/>
      </c>
      <c r="AN11" s="101">
        <f>COGS!AN8</f>
        <v/>
      </c>
      <c r="AO11" s="101">
        <f>SUM(AC11:AN11)</f>
        <v/>
      </c>
    </row>
    <row r="12" ht="15" customHeight="1" s="64">
      <c r="B12" s="116" t="inlineStr">
        <is>
          <t xml:space="preserve">  Food COGS</t>
        </is>
      </c>
      <c r="C12" s="117">
        <f>COGS!C5</f>
        <v/>
      </c>
      <c r="D12" s="117">
        <f>COGS!D5</f>
        <v/>
      </c>
      <c r="E12" s="117">
        <f>COGS!E5</f>
        <v/>
      </c>
      <c r="F12" s="117">
        <f>COGS!F5</f>
        <v/>
      </c>
      <c r="G12" s="117">
        <f>COGS!G5</f>
        <v/>
      </c>
      <c r="H12" s="117">
        <f>COGS!H5</f>
        <v/>
      </c>
      <c r="I12" s="117">
        <f>COGS!I5</f>
        <v/>
      </c>
      <c r="J12" s="117">
        <f>COGS!J5</f>
        <v/>
      </c>
      <c r="K12" s="117">
        <f>COGS!K5</f>
        <v/>
      </c>
      <c r="L12" s="117">
        <f>COGS!L5</f>
        <v/>
      </c>
      <c r="M12" s="117">
        <f>COGS!M5</f>
        <v/>
      </c>
      <c r="N12" s="117">
        <f>COGS!N5</f>
        <v/>
      </c>
      <c r="O12" s="117">
        <f>SUM(C12:N12)</f>
        <v/>
      </c>
      <c r="P12" s="117">
        <f>COGS!P5</f>
        <v/>
      </c>
      <c r="Q12" s="117">
        <f>COGS!Q5</f>
        <v/>
      </c>
      <c r="R12" s="117">
        <f>COGS!R5</f>
        <v/>
      </c>
      <c r="S12" s="117">
        <f>COGS!S5</f>
        <v/>
      </c>
      <c r="T12" s="117">
        <f>COGS!T5</f>
        <v/>
      </c>
      <c r="U12" s="117">
        <f>COGS!U5</f>
        <v/>
      </c>
      <c r="V12" s="117">
        <f>COGS!V5</f>
        <v/>
      </c>
      <c r="W12" s="117">
        <f>COGS!W5</f>
        <v/>
      </c>
      <c r="X12" s="117">
        <f>COGS!X5</f>
        <v/>
      </c>
      <c r="Y12" s="117">
        <f>COGS!Y5</f>
        <v/>
      </c>
      <c r="Z12" s="117">
        <f>COGS!Z5</f>
        <v/>
      </c>
      <c r="AA12" s="117">
        <f>COGS!AA5</f>
        <v/>
      </c>
      <c r="AB12" s="117">
        <f>SUM(P12:AA12)</f>
        <v/>
      </c>
      <c r="AC12" s="117">
        <f>COGS!AC5</f>
        <v/>
      </c>
      <c r="AD12" s="117">
        <f>COGS!AD5</f>
        <v/>
      </c>
      <c r="AE12" s="117">
        <f>COGS!AE5</f>
        <v/>
      </c>
      <c r="AF12" s="117">
        <f>COGS!AF5</f>
        <v/>
      </c>
      <c r="AG12" s="117">
        <f>COGS!AG5</f>
        <v/>
      </c>
      <c r="AH12" s="117">
        <f>COGS!AH5</f>
        <v/>
      </c>
      <c r="AI12" s="117">
        <f>COGS!AI5</f>
        <v/>
      </c>
      <c r="AJ12" s="117">
        <f>COGS!AJ5</f>
        <v/>
      </c>
      <c r="AK12" s="117">
        <f>COGS!AK5</f>
        <v/>
      </c>
      <c r="AL12" s="117">
        <f>COGS!AL5</f>
        <v/>
      </c>
      <c r="AM12" s="117">
        <f>COGS!AM5</f>
        <v/>
      </c>
      <c r="AN12" s="117">
        <f>COGS!AN5</f>
        <v/>
      </c>
      <c r="AO12" s="117">
        <f>SUM(AC12:AN12)</f>
        <v/>
      </c>
    </row>
    <row r="13" ht="15" customHeight="1" s="64">
      <c r="B13" s="116" t="inlineStr">
        <is>
          <t xml:space="preserve">  Wine COGS</t>
        </is>
      </c>
      <c r="C13" s="117">
        <f>COGS!C6</f>
        <v/>
      </c>
      <c r="D13" s="117">
        <f>COGS!D6</f>
        <v/>
      </c>
      <c r="E13" s="117">
        <f>COGS!E6</f>
        <v/>
      </c>
      <c r="F13" s="117">
        <f>COGS!F6</f>
        <v/>
      </c>
      <c r="G13" s="117">
        <f>COGS!G6</f>
        <v/>
      </c>
      <c r="H13" s="117">
        <f>COGS!H6</f>
        <v/>
      </c>
      <c r="I13" s="117">
        <f>COGS!I6</f>
        <v/>
      </c>
      <c r="J13" s="117">
        <f>COGS!J6</f>
        <v/>
      </c>
      <c r="K13" s="117">
        <f>COGS!K6</f>
        <v/>
      </c>
      <c r="L13" s="117">
        <f>COGS!L6</f>
        <v/>
      </c>
      <c r="M13" s="117">
        <f>COGS!M6</f>
        <v/>
      </c>
      <c r="N13" s="117">
        <f>COGS!N6</f>
        <v/>
      </c>
      <c r="O13" s="117">
        <f>SUM(C13:N13)</f>
        <v/>
      </c>
      <c r="P13" s="117">
        <f>COGS!P6</f>
        <v/>
      </c>
      <c r="Q13" s="117">
        <f>COGS!Q6</f>
        <v/>
      </c>
      <c r="R13" s="117">
        <f>COGS!R6</f>
        <v/>
      </c>
      <c r="S13" s="117">
        <f>COGS!S6</f>
        <v/>
      </c>
      <c r="T13" s="117">
        <f>COGS!T6</f>
        <v/>
      </c>
      <c r="U13" s="117">
        <f>COGS!U6</f>
        <v/>
      </c>
      <c r="V13" s="117">
        <f>COGS!V6</f>
        <v/>
      </c>
      <c r="W13" s="117">
        <f>COGS!W6</f>
        <v/>
      </c>
      <c r="X13" s="117">
        <f>COGS!X6</f>
        <v/>
      </c>
      <c r="Y13" s="117">
        <f>COGS!Y6</f>
        <v/>
      </c>
      <c r="Z13" s="117">
        <f>COGS!Z6</f>
        <v/>
      </c>
      <c r="AA13" s="117">
        <f>COGS!AA6</f>
        <v/>
      </c>
      <c r="AB13" s="117">
        <f>SUM(P13:AA13)</f>
        <v/>
      </c>
      <c r="AC13" s="117">
        <f>COGS!AC6</f>
        <v/>
      </c>
      <c r="AD13" s="117">
        <f>COGS!AD6</f>
        <v/>
      </c>
      <c r="AE13" s="117">
        <f>COGS!AE6</f>
        <v/>
      </c>
      <c r="AF13" s="117">
        <f>COGS!AF6</f>
        <v/>
      </c>
      <c r="AG13" s="117">
        <f>COGS!AG6</f>
        <v/>
      </c>
      <c r="AH13" s="117">
        <f>COGS!AH6</f>
        <v/>
      </c>
      <c r="AI13" s="117">
        <f>COGS!AI6</f>
        <v/>
      </c>
      <c r="AJ13" s="117">
        <f>COGS!AJ6</f>
        <v/>
      </c>
      <c r="AK13" s="117">
        <f>COGS!AK6</f>
        <v/>
      </c>
      <c r="AL13" s="117">
        <f>COGS!AL6</f>
        <v/>
      </c>
      <c r="AM13" s="117">
        <f>COGS!AM6</f>
        <v/>
      </c>
      <c r="AN13" s="117">
        <f>COGS!AN6</f>
        <v/>
      </c>
      <c r="AO13" s="117">
        <f>SUM(AC13:AN13)</f>
        <v/>
      </c>
    </row>
    <row r="14"/>
    <row r="15" ht="15" customHeight="1" s="64">
      <c r="B15" s="89" t="inlineStr">
        <is>
          <t>GROSS PROFIT</t>
        </is>
      </c>
      <c r="C15" s="103">
        <f>COGS!C10</f>
        <v/>
      </c>
      <c r="D15" s="103">
        <f>COGS!D10</f>
        <v/>
      </c>
      <c r="E15" s="103">
        <f>COGS!E10</f>
        <v/>
      </c>
      <c r="F15" s="103">
        <f>COGS!F10</f>
        <v/>
      </c>
      <c r="G15" s="103">
        <f>COGS!G10</f>
        <v/>
      </c>
      <c r="H15" s="103">
        <f>COGS!H10</f>
        <v/>
      </c>
      <c r="I15" s="103">
        <f>COGS!I10</f>
        <v/>
      </c>
      <c r="J15" s="103">
        <f>COGS!J10</f>
        <v/>
      </c>
      <c r="K15" s="103">
        <f>COGS!K10</f>
        <v/>
      </c>
      <c r="L15" s="103">
        <f>COGS!L10</f>
        <v/>
      </c>
      <c r="M15" s="103">
        <f>COGS!M10</f>
        <v/>
      </c>
      <c r="N15" s="103">
        <f>COGS!N10</f>
        <v/>
      </c>
      <c r="O15" s="103">
        <f>SUM(C15:N15)</f>
        <v/>
      </c>
      <c r="P15" s="103">
        <f>COGS!P10</f>
        <v/>
      </c>
      <c r="Q15" s="103">
        <f>COGS!Q10</f>
        <v/>
      </c>
      <c r="R15" s="103">
        <f>COGS!R10</f>
        <v/>
      </c>
      <c r="S15" s="103">
        <f>COGS!S10</f>
        <v/>
      </c>
      <c r="T15" s="103">
        <f>COGS!T10</f>
        <v/>
      </c>
      <c r="U15" s="103">
        <f>COGS!U10</f>
        <v/>
      </c>
      <c r="V15" s="103">
        <f>COGS!V10</f>
        <v/>
      </c>
      <c r="W15" s="103">
        <f>COGS!W10</f>
        <v/>
      </c>
      <c r="X15" s="103">
        <f>COGS!X10</f>
        <v/>
      </c>
      <c r="Y15" s="103">
        <f>COGS!Y10</f>
        <v/>
      </c>
      <c r="Z15" s="103">
        <f>COGS!Z10</f>
        <v/>
      </c>
      <c r="AA15" s="103">
        <f>COGS!AA10</f>
        <v/>
      </c>
      <c r="AB15" s="103">
        <f>SUM(P15:AA15)</f>
        <v/>
      </c>
      <c r="AC15" s="103">
        <f>COGS!AC10</f>
        <v/>
      </c>
      <c r="AD15" s="103">
        <f>COGS!AD10</f>
        <v/>
      </c>
      <c r="AE15" s="103">
        <f>COGS!AE10</f>
        <v/>
      </c>
      <c r="AF15" s="103">
        <f>COGS!AF10</f>
        <v/>
      </c>
      <c r="AG15" s="103">
        <f>COGS!AG10</f>
        <v/>
      </c>
      <c r="AH15" s="103">
        <f>COGS!AH10</f>
        <v/>
      </c>
      <c r="AI15" s="103">
        <f>COGS!AI10</f>
        <v/>
      </c>
      <c r="AJ15" s="103">
        <f>COGS!AJ10</f>
        <v/>
      </c>
      <c r="AK15" s="103">
        <f>COGS!AK10</f>
        <v/>
      </c>
      <c r="AL15" s="103">
        <f>COGS!AL10</f>
        <v/>
      </c>
      <c r="AM15" s="103">
        <f>COGS!AM10</f>
        <v/>
      </c>
      <c r="AN15" s="103">
        <f>COGS!AN10</f>
        <v/>
      </c>
      <c r="AO15" s="103">
        <f>SUM(AC15:AN15)</f>
        <v/>
      </c>
    </row>
    <row r="16" ht="15" customHeight="1" s="64">
      <c r="B16" s="113" t="inlineStr">
        <is>
          <t xml:space="preserve">  Gross Margin %</t>
        </is>
      </c>
      <c r="C16" s="114">
        <f>IF(Revenue!C30=0,0,COGS!C10/Revenue!C30)</f>
        <v/>
      </c>
      <c r="D16" s="114">
        <f>IF(Revenue!D30=0,0,COGS!D10/Revenue!D30)</f>
        <v/>
      </c>
      <c r="E16" s="114">
        <f>IF(Revenue!E30=0,0,COGS!E10/Revenue!E30)</f>
        <v/>
      </c>
      <c r="F16" s="114">
        <f>IF(Revenue!F30=0,0,COGS!F10/Revenue!F30)</f>
        <v/>
      </c>
      <c r="G16" s="114">
        <f>IF(Revenue!G30=0,0,COGS!G10/Revenue!G30)</f>
        <v/>
      </c>
      <c r="H16" s="114">
        <f>IF(Revenue!H30=0,0,COGS!H10/Revenue!H30)</f>
        <v/>
      </c>
      <c r="I16" s="114">
        <f>IF(Revenue!I30=0,0,COGS!I10/Revenue!I30)</f>
        <v/>
      </c>
      <c r="J16" s="114">
        <f>IF(Revenue!J30=0,0,COGS!J10/Revenue!J30)</f>
        <v/>
      </c>
      <c r="K16" s="114">
        <f>IF(Revenue!K30=0,0,COGS!K10/Revenue!K30)</f>
        <v/>
      </c>
      <c r="L16" s="114">
        <f>IF(Revenue!L30=0,0,COGS!L10/Revenue!L30)</f>
        <v/>
      </c>
      <c r="M16" s="114">
        <f>IF(Revenue!M30=0,0,COGS!M10/Revenue!M30)</f>
        <v/>
      </c>
      <c r="N16" s="114">
        <f>IF(Revenue!N30=0,0,COGS!N10/Revenue!N30)</f>
        <v/>
      </c>
      <c r="O16" s="114">
        <f>IF(Revenue!O30=0,0,COGS!O10/Revenue!O30)</f>
        <v/>
      </c>
      <c r="P16" s="114">
        <f>IF(Revenue!P30=0,0,COGS!P10/Revenue!P30)</f>
        <v/>
      </c>
      <c r="Q16" s="114">
        <f>IF(Revenue!Q30=0,0,COGS!Q10/Revenue!Q30)</f>
        <v/>
      </c>
      <c r="R16" s="114">
        <f>IF(Revenue!R30=0,0,COGS!R10/Revenue!R30)</f>
        <v/>
      </c>
      <c r="S16" s="114">
        <f>IF(Revenue!S30=0,0,COGS!S10/Revenue!S30)</f>
        <v/>
      </c>
      <c r="T16" s="114">
        <f>IF(Revenue!T30=0,0,COGS!T10/Revenue!T30)</f>
        <v/>
      </c>
      <c r="U16" s="114">
        <f>IF(Revenue!U30=0,0,COGS!U10/Revenue!U30)</f>
        <v/>
      </c>
      <c r="V16" s="114">
        <f>IF(Revenue!V30=0,0,COGS!V10/Revenue!V30)</f>
        <v/>
      </c>
      <c r="W16" s="114">
        <f>IF(Revenue!W30=0,0,COGS!W10/Revenue!W30)</f>
        <v/>
      </c>
      <c r="X16" s="114">
        <f>IF(Revenue!X30=0,0,COGS!X10/Revenue!X30)</f>
        <v/>
      </c>
      <c r="Y16" s="114">
        <f>IF(Revenue!Y30=0,0,COGS!Y10/Revenue!Y30)</f>
        <v/>
      </c>
      <c r="Z16" s="114">
        <f>IF(Revenue!Z30=0,0,COGS!Z10/Revenue!Z30)</f>
        <v/>
      </c>
      <c r="AA16" s="114">
        <f>IF(Revenue!AA30=0,0,COGS!AA10/Revenue!AA30)</f>
        <v/>
      </c>
      <c r="AB16" s="114">
        <f>IF(Revenue!AB30=0,0,COGS!AB10/Revenue!AB30)</f>
        <v/>
      </c>
      <c r="AC16" s="114">
        <f>IF(Revenue!AC30=0,0,COGS!AC10/Revenue!AC30)</f>
        <v/>
      </c>
      <c r="AD16" s="114">
        <f>IF(Revenue!AD30=0,0,COGS!AD10/Revenue!AD30)</f>
        <v/>
      </c>
      <c r="AE16" s="114">
        <f>IF(Revenue!AE30=0,0,COGS!AE10/Revenue!AE30)</f>
        <v/>
      </c>
      <c r="AF16" s="114">
        <f>IF(Revenue!AF30=0,0,COGS!AF10/Revenue!AF30)</f>
        <v/>
      </c>
      <c r="AG16" s="114">
        <f>IF(Revenue!AG30=0,0,COGS!AG10/Revenue!AG30)</f>
        <v/>
      </c>
      <c r="AH16" s="114">
        <f>IF(Revenue!AH30=0,0,COGS!AH10/Revenue!AH30)</f>
        <v/>
      </c>
      <c r="AI16" s="114">
        <f>IF(Revenue!AI30=0,0,COGS!AI10/Revenue!AI30)</f>
        <v/>
      </c>
      <c r="AJ16" s="114">
        <f>IF(Revenue!AJ30=0,0,COGS!AJ10/Revenue!AJ30)</f>
        <v/>
      </c>
      <c r="AK16" s="114">
        <f>IF(Revenue!AK30=0,0,COGS!AK10/Revenue!AK30)</f>
        <v/>
      </c>
      <c r="AL16" s="114">
        <f>IF(Revenue!AL30=0,0,COGS!AL10/Revenue!AL30)</f>
        <v/>
      </c>
      <c r="AM16" s="114">
        <f>IF(Revenue!AM30=0,0,COGS!AM10/Revenue!AM30)</f>
        <v/>
      </c>
      <c r="AN16" s="114">
        <f>IF(Revenue!AN30=0,0,COGS!AN10/Revenue!AN30)</f>
        <v/>
      </c>
      <c r="AO16" s="114">
        <f>IF(Revenue!AO30=0,0,COGS!AO10/Revenue!AO30)</f>
        <v/>
      </c>
    </row>
    <row r="17"/>
    <row r="18" ht="15" customHeight="1" s="64">
      <c r="B18" s="80" t="inlineStr">
        <is>
          <t>Operating Expenses</t>
        </is>
      </c>
      <c r="C18" s="101">
        <f>OpEx!C34</f>
        <v/>
      </c>
      <c r="D18" s="101">
        <f>OpEx!D34</f>
        <v/>
      </c>
      <c r="E18" s="101">
        <f>OpEx!E34</f>
        <v/>
      </c>
      <c r="F18" s="101">
        <f>OpEx!F34</f>
        <v/>
      </c>
      <c r="G18" s="101">
        <f>OpEx!G34</f>
        <v/>
      </c>
      <c r="H18" s="101">
        <f>OpEx!H34</f>
        <v/>
      </c>
      <c r="I18" s="101">
        <f>OpEx!I34</f>
        <v/>
      </c>
      <c r="J18" s="101">
        <f>OpEx!J34</f>
        <v/>
      </c>
      <c r="K18" s="101">
        <f>OpEx!K34</f>
        <v/>
      </c>
      <c r="L18" s="101">
        <f>OpEx!L34</f>
        <v/>
      </c>
      <c r="M18" s="101">
        <f>OpEx!M34</f>
        <v/>
      </c>
      <c r="N18" s="101">
        <f>OpEx!N34</f>
        <v/>
      </c>
      <c r="O18" s="101">
        <f>SUM(C18:N18)</f>
        <v/>
      </c>
      <c r="P18" s="101">
        <f>OpEx!P34</f>
        <v/>
      </c>
      <c r="Q18" s="101">
        <f>OpEx!Q34</f>
        <v/>
      </c>
      <c r="R18" s="101">
        <f>OpEx!R34</f>
        <v/>
      </c>
      <c r="S18" s="101">
        <f>OpEx!S34</f>
        <v/>
      </c>
      <c r="T18" s="101">
        <f>OpEx!T34</f>
        <v/>
      </c>
      <c r="U18" s="101">
        <f>OpEx!U34</f>
        <v/>
      </c>
      <c r="V18" s="101">
        <f>OpEx!V34</f>
        <v/>
      </c>
      <c r="W18" s="101">
        <f>OpEx!W34</f>
        <v/>
      </c>
      <c r="X18" s="101">
        <f>OpEx!X34</f>
        <v/>
      </c>
      <c r="Y18" s="101">
        <f>OpEx!Y34</f>
        <v/>
      </c>
      <c r="Z18" s="101">
        <f>OpEx!Z34</f>
        <v/>
      </c>
      <c r="AA18" s="101">
        <f>OpEx!AA34</f>
        <v/>
      </c>
      <c r="AB18" s="101">
        <f>SUM(P18:AA18)</f>
        <v/>
      </c>
      <c r="AC18" s="101">
        <f>OpEx!AC34</f>
        <v/>
      </c>
      <c r="AD18" s="101">
        <f>OpEx!AD34</f>
        <v/>
      </c>
      <c r="AE18" s="101">
        <f>OpEx!AE34</f>
        <v/>
      </c>
      <c r="AF18" s="101">
        <f>OpEx!AF34</f>
        <v/>
      </c>
      <c r="AG18" s="101">
        <f>OpEx!AG34</f>
        <v/>
      </c>
      <c r="AH18" s="101">
        <f>OpEx!AH34</f>
        <v/>
      </c>
      <c r="AI18" s="101">
        <f>OpEx!AI34</f>
        <v/>
      </c>
      <c r="AJ18" s="101">
        <f>OpEx!AJ34</f>
        <v/>
      </c>
      <c r="AK18" s="101">
        <f>OpEx!AK34</f>
        <v/>
      </c>
      <c r="AL18" s="101">
        <f>OpEx!AL34</f>
        <v/>
      </c>
      <c r="AM18" s="101">
        <f>OpEx!AM34</f>
        <v/>
      </c>
      <c r="AN18" s="101">
        <f>OpEx!AN34</f>
        <v/>
      </c>
      <c r="AO18" s="101">
        <f>SUM(AC18:AN18)</f>
        <v/>
      </c>
    </row>
    <row r="19" ht="15" customHeight="1" s="64">
      <c r="B19" s="116" t="inlineStr">
        <is>
          <t xml:space="preserve">  Wages &amp; Salaries</t>
        </is>
      </c>
      <c r="C19" s="117">
        <f>OpEx!C8</f>
        <v/>
      </c>
      <c r="D19" s="117">
        <f>OpEx!D8</f>
        <v/>
      </c>
      <c r="E19" s="117">
        <f>OpEx!E8</f>
        <v/>
      </c>
      <c r="F19" s="117">
        <f>OpEx!F8</f>
        <v/>
      </c>
      <c r="G19" s="117">
        <f>OpEx!G8</f>
        <v/>
      </c>
      <c r="H19" s="117">
        <f>OpEx!H8</f>
        <v/>
      </c>
      <c r="I19" s="117">
        <f>OpEx!I8</f>
        <v/>
      </c>
      <c r="J19" s="117">
        <f>OpEx!J8</f>
        <v/>
      </c>
      <c r="K19" s="117">
        <f>OpEx!K8</f>
        <v/>
      </c>
      <c r="L19" s="117">
        <f>OpEx!L8</f>
        <v/>
      </c>
      <c r="M19" s="117">
        <f>OpEx!M8</f>
        <v/>
      </c>
      <c r="N19" s="117">
        <f>OpEx!N8</f>
        <v/>
      </c>
      <c r="O19" s="117">
        <f>SUM(C19:N19)</f>
        <v/>
      </c>
      <c r="P19" s="117">
        <f>OpEx!P8</f>
        <v/>
      </c>
      <c r="Q19" s="117">
        <f>OpEx!Q8</f>
        <v/>
      </c>
      <c r="R19" s="117">
        <f>OpEx!R8</f>
        <v/>
      </c>
      <c r="S19" s="117">
        <f>OpEx!S8</f>
        <v/>
      </c>
      <c r="T19" s="117">
        <f>OpEx!T8</f>
        <v/>
      </c>
      <c r="U19" s="117">
        <f>OpEx!U8</f>
        <v/>
      </c>
      <c r="V19" s="117">
        <f>OpEx!V8</f>
        <v/>
      </c>
      <c r="W19" s="117">
        <f>OpEx!W8</f>
        <v/>
      </c>
      <c r="X19" s="117">
        <f>OpEx!X8</f>
        <v/>
      </c>
      <c r="Y19" s="117">
        <f>OpEx!Y8</f>
        <v/>
      </c>
      <c r="Z19" s="117">
        <f>OpEx!Z8</f>
        <v/>
      </c>
      <c r="AA19" s="117">
        <f>OpEx!AA8</f>
        <v/>
      </c>
      <c r="AB19" s="117">
        <f>SUM(P19:AA19)</f>
        <v/>
      </c>
      <c r="AC19" s="117">
        <f>OpEx!AC8</f>
        <v/>
      </c>
      <c r="AD19" s="117">
        <f>OpEx!AD8</f>
        <v/>
      </c>
      <c r="AE19" s="117">
        <f>OpEx!AE8</f>
        <v/>
      </c>
      <c r="AF19" s="117">
        <f>OpEx!AF8</f>
        <v/>
      </c>
      <c r="AG19" s="117">
        <f>OpEx!AG8</f>
        <v/>
      </c>
      <c r="AH19" s="117">
        <f>OpEx!AH8</f>
        <v/>
      </c>
      <c r="AI19" s="117">
        <f>OpEx!AI8</f>
        <v/>
      </c>
      <c r="AJ19" s="117">
        <f>OpEx!AJ8</f>
        <v/>
      </c>
      <c r="AK19" s="117">
        <f>OpEx!AK8</f>
        <v/>
      </c>
      <c r="AL19" s="117">
        <f>OpEx!AL8</f>
        <v/>
      </c>
      <c r="AM19" s="117">
        <f>OpEx!AM8</f>
        <v/>
      </c>
      <c r="AN19" s="117">
        <f>OpEx!AN8</f>
        <v/>
      </c>
      <c r="AO19" s="117">
        <f>SUM(AC19:AN19)</f>
        <v/>
      </c>
    </row>
    <row r="20" ht="15" customHeight="1" s="64">
      <c r="B20" s="116" t="inlineStr">
        <is>
          <t xml:space="preserve">  MPF — Employer Contribution</t>
        </is>
      </c>
      <c r="C20" s="117">
        <f>OpEx!C9</f>
        <v/>
      </c>
      <c r="D20" s="117">
        <f>OpEx!D9</f>
        <v/>
      </c>
      <c r="E20" s="117">
        <f>OpEx!E9</f>
        <v/>
      </c>
      <c r="F20" s="117">
        <f>OpEx!F9</f>
        <v/>
      </c>
      <c r="G20" s="117">
        <f>OpEx!G9</f>
        <v/>
      </c>
      <c r="H20" s="117">
        <f>OpEx!H9</f>
        <v/>
      </c>
      <c r="I20" s="117">
        <f>OpEx!I9</f>
        <v/>
      </c>
      <c r="J20" s="117">
        <f>OpEx!J9</f>
        <v/>
      </c>
      <c r="K20" s="117">
        <f>OpEx!K9</f>
        <v/>
      </c>
      <c r="L20" s="117">
        <f>OpEx!L9</f>
        <v/>
      </c>
      <c r="M20" s="117">
        <f>OpEx!M9</f>
        <v/>
      </c>
      <c r="N20" s="117">
        <f>OpEx!N9</f>
        <v/>
      </c>
      <c r="O20" s="117">
        <f>SUM(C20:N20)</f>
        <v/>
      </c>
      <c r="P20" s="117">
        <f>OpEx!P9</f>
        <v/>
      </c>
      <c r="Q20" s="117">
        <f>OpEx!Q9</f>
        <v/>
      </c>
      <c r="R20" s="117">
        <f>OpEx!R9</f>
        <v/>
      </c>
      <c r="S20" s="117">
        <f>OpEx!S9</f>
        <v/>
      </c>
      <c r="T20" s="117">
        <f>OpEx!T9</f>
        <v/>
      </c>
      <c r="U20" s="117">
        <f>OpEx!U9</f>
        <v/>
      </c>
      <c r="V20" s="117">
        <f>OpEx!V9</f>
        <v/>
      </c>
      <c r="W20" s="117">
        <f>OpEx!W9</f>
        <v/>
      </c>
      <c r="X20" s="117">
        <f>OpEx!X9</f>
        <v/>
      </c>
      <c r="Y20" s="117">
        <f>OpEx!Y9</f>
        <v/>
      </c>
      <c r="Z20" s="117">
        <f>OpEx!Z9</f>
        <v/>
      </c>
      <c r="AA20" s="117">
        <f>OpEx!AA9</f>
        <v/>
      </c>
      <c r="AB20" s="117">
        <f>SUM(P20:AA20)</f>
        <v/>
      </c>
      <c r="AC20" s="117">
        <f>OpEx!AC9</f>
        <v/>
      </c>
      <c r="AD20" s="117">
        <f>OpEx!AD9</f>
        <v/>
      </c>
      <c r="AE20" s="117">
        <f>OpEx!AE9</f>
        <v/>
      </c>
      <c r="AF20" s="117">
        <f>OpEx!AF9</f>
        <v/>
      </c>
      <c r="AG20" s="117">
        <f>OpEx!AG9</f>
        <v/>
      </c>
      <c r="AH20" s="117">
        <f>OpEx!AH9</f>
        <v/>
      </c>
      <c r="AI20" s="117">
        <f>OpEx!AI9</f>
        <v/>
      </c>
      <c r="AJ20" s="117">
        <f>OpEx!AJ9</f>
        <v/>
      </c>
      <c r="AK20" s="117">
        <f>OpEx!AK9</f>
        <v/>
      </c>
      <c r="AL20" s="117">
        <f>OpEx!AL9</f>
        <v/>
      </c>
      <c r="AM20" s="117">
        <f>OpEx!AM9</f>
        <v/>
      </c>
      <c r="AN20" s="117">
        <f>OpEx!AN9</f>
        <v/>
      </c>
      <c r="AO20" s="117">
        <f>SUM(AC20:AN20)</f>
        <v/>
      </c>
    </row>
    <row r="21" ht="15" customHeight="1" s="64">
      <c r="B21" s="116" t="inlineStr">
        <is>
          <t xml:space="preserve">  Part-time / Casual Staff</t>
        </is>
      </c>
      <c r="C21" s="117">
        <f>OpEx!C10</f>
        <v/>
      </c>
      <c r="D21" s="117">
        <f>OpEx!D10</f>
        <v/>
      </c>
      <c r="E21" s="117">
        <f>OpEx!E10</f>
        <v/>
      </c>
      <c r="F21" s="117">
        <f>OpEx!F10</f>
        <v/>
      </c>
      <c r="G21" s="117">
        <f>OpEx!G10</f>
        <v/>
      </c>
      <c r="H21" s="117">
        <f>OpEx!H10</f>
        <v/>
      </c>
      <c r="I21" s="117">
        <f>OpEx!I10</f>
        <v/>
      </c>
      <c r="J21" s="117">
        <f>OpEx!J10</f>
        <v/>
      </c>
      <c r="K21" s="117">
        <f>OpEx!K10</f>
        <v/>
      </c>
      <c r="L21" s="117">
        <f>OpEx!L10</f>
        <v/>
      </c>
      <c r="M21" s="117">
        <f>OpEx!M10</f>
        <v/>
      </c>
      <c r="N21" s="117">
        <f>OpEx!N10</f>
        <v/>
      </c>
      <c r="O21" s="117">
        <f>SUM(C21:N21)</f>
        <v/>
      </c>
      <c r="P21" s="117">
        <f>OpEx!P10</f>
        <v/>
      </c>
      <c r="Q21" s="117">
        <f>OpEx!Q10</f>
        <v/>
      </c>
      <c r="R21" s="117">
        <f>OpEx!R10</f>
        <v/>
      </c>
      <c r="S21" s="117">
        <f>OpEx!S10</f>
        <v/>
      </c>
      <c r="T21" s="117">
        <f>OpEx!T10</f>
        <v/>
      </c>
      <c r="U21" s="117">
        <f>OpEx!U10</f>
        <v/>
      </c>
      <c r="V21" s="117">
        <f>OpEx!V10</f>
        <v/>
      </c>
      <c r="W21" s="117">
        <f>OpEx!W10</f>
        <v/>
      </c>
      <c r="X21" s="117">
        <f>OpEx!X10</f>
        <v/>
      </c>
      <c r="Y21" s="117">
        <f>OpEx!Y10</f>
        <v/>
      </c>
      <c r="Z21" s="117">
        <f>OpEx!Z10</f>
        <v/>
      </c>
      <c r="AA21" s="117">
        <f>OpEx!AA10</f>
        <v/>
      </c>
      <c r="AB21" s="117">
        <f>SUM(P21:AA21)</f>
        <v/>
      </c>
      <c r="AC21" s="117">
        <f>OpEx!AC10</f>
        <v/>
      </c>
      <c r="AD21" s="117">
        <f>OpEx!AD10</f>
        <v/>
      </c>
      <c r="AE21" s="117">
        <f>OpEx!AE10</f>
        <v/>
      </c>
      <c r="AF21" s="117">
        <f>OpEx!AF10</f>
        <v/>
      </c>
      <c r="AG21" s="117">
        <f>OpEx!AG10</f>
        <v/>
      </c>
      <c r="AH21" s="117">
        <f>OpEx!AH10</f>
        <v/>
      </c>
      <c r="AI21" s="117">
        <f>OpEx!AI10</f>
        <v/>
      </c>
      <c r="AJ21" s="117">
        <f>OpEx!AJ10</f>
        <v/>
      </c>
      <c r="AK21" s="117">
        <f>OpEx!AK10</f>
        <v/>
      </c>
      <c r="AL21" s="117">
        <f>OpEx!AL10</f>
        <v/>
      </c>
      <c r="AM21" s="117">
        <f>OpEx!AM10</f>
        <v/>
      </c>
      <c r="AN21" s="117">
        <f>OpEx!AN10</f>
        <v/>
      </c>
      <c r="AO21" s="117">
        <f>SUM(AC21:AN21)</f>
        <v/>
      </c>
    </row>
    <row r="22" ht="15" customHeight="1" s="64">
      <c r="B22" s="116" t="inlineStr">
        <is>
          <t xml:space="preserve">  Staff Welfare &amp; Benefits</t>
        </is>
      </c>
      <c r="C22" s="117">
        <f>OpEx!C11</f>
        <v/>
      </c>
      <c r="D22" s="117">
        <f>OpEx!D11</f>
        <v/>
      </c>
      <c r="E22" s="117">
        <f>OpEx!E11</f>
        <v/>
      </c>
      <c r="F22" s="117">
        <f>OpEx!F11</f>
        <v/>
      </c>
      <c r="G22" s="117">
        <f>OpEx!G11</f>
        <v/>
      </c>
      <c r="H22" s="117">
        <f>OpEx!H11</f>
        <v/>
      </c>
      <c r="I22" s="117">
        <f>OpEx!I11</f>
        <v/>
      </c>
      <c r="J22" s="117">
        <f>OpEx!J11</f>
        <v/>
      </c>
      <c r="K22" s="117">
        <f>OpEx!K11</f>
        <v/>
      </c>
      <c r="L22" s="117">
        <f>OpEx!L11</f>
        <v/>
      </c>
      <c r="M22" s="117">
        <f>OpEx!M11</f>
        <v/>
      </c>
      <c r="N22" s="117">
        <f>OpEx!N11</f>
        <v/>
      </c>
      <c r="O22" s="117">
        <f>SUM(C22:N22)</f>
        <v/>
      </c>
      <c r="P22" s="117">
        <f>OpEx!P11</f>
        <v/>
      </c>
      <c r="Q22" s="117">
        <f>OpEx!Q11</f>
        <v/>
      </c>
      <c r="R22" s="117">
        <f>OpEx!R11</f>
        <v/>
      </c>
      <c r="S22" s="117">
        <f>OpEx!S11</f>
        <v/>
      </c>
      <c r="T22" s="117">
        <f>OpEx!T11</f>
        <v/>
      </c>
      <c r="U22" s="117">
        <f>OpEx!U11</f>
        <v/>
      </c>
      <c r="V22" s="117">
        <f>OpEx!V11</f>
        <v/>
      </c>
      <c r="W22" s="117">
        <f>OpEx!W11</f>
        <v/>
      </c>
      <c r="X22" s="117">
        <f>OpEx!X11</f>
        <v/>
      </c>
      <c r="Y22" s="117">
        <f>OpEx!Y11</f>
        <v/>
      </c>
      <c r="Z22" s="117">
        <f>OpEx!Z11</f>
        <v/>
      </c>
      <c r="AA22" s="117">
        <f>OpEx!AA11</f>
        <v/>
      </c>
      <c r="AB22" s="117">
        <f>SUM(P22:AA22)</f>
        <v/>
      </c>
      <c r="AC22" s="117">
        <f>OpEx!AC11</f>
        <v/>
      </c>
      <c r="AD22" s="117">
        <f>OpEx!AD11</f>
        <v/>
      </c>
      <c r="AE22" s="117">
        <f>OpEx!AE11</f>
        <v/>
      </c>
      <c r="AF22" s="117">
        <f>OpEx!AF11</f>
        <v/>
      </c>
      <c r="AG22" s="117">
        <f>OpEx!AG11</f>
        <v/>
      </c>
      <c r="AH22" s="117">
        <f>OpEx!AH11</f>
        <v/>
      </c>
      <c r="AI22" s="117">
        <f>OpEx!AI11</f>
        <v/>
      </c>
      <c r="AJ22" s="117">
        <f>OpEx!AJ11</f>
        <v/>
      </c>
      <c r="AK22" s="117">
        <f>OpEx!AK11</f>
        <v/>
      </c>
      <c r="AL22" s="117">
        <f>OpEx!AL11</f>
        <v/>
      </c>
      <c r="AM22" s="117">
        <f>OpEx!AM11</f>
        <v/>
      </c>
      <c r="AN22" s="117">
        <f>OpEx!AN11</f>
        <v/>
      </c>
      <c r="AO22" s="117">
        <f>SUM(AC22:AN22)</f>
        <v/>
      </c>
    </row>
    <row r="23"/>
    <row r="24" ht="15" customHeight="1" s="64">
      <c r="B24" s="80" t="inlineStr">
        <is>
          <t>Total Staff Costs</t>
        </is>
      </c>
      <c r="C24" s="101">
        <f>OpEx!C8+OpEx!C9+OpEx!C10+OpEx!C11</f>
        <v/>
      </c>
      <c r="D24" s="101">
        <f>OpEx!D8+OpEx!D9+OpEx!D10+OpEx!D11</f>
        <v/>
      </c>
      <c r="E24" s="101">
        <f>OpEx!E8+OpEx!E9+OpEx!E10+OpEx!E11</f>
        <v/>
      </c>
      <c r="F24" s="101">
        <f>OpEx!F8+OpEx!F9+OpEx!F10+OpEx!F11</f>
        <v/>
      </c>
      <c r="G24" s="101">
        <f>OpEx!G8+OpEx!G9+OpEx!G10+OpEx!G11</f>
        <v/>
      </c>
      <c r="H24" s="101">
        <f>OpEx!H8+OpEx!H9+OpEx!H10+OpEx!H11</f>
        <v/>
      </c>
      <c r="I24" s="101">
        <f>OpEx!I8+OpEx!I9+OpEx!I10+OpEx!I11</f>
        <v/>
      </c>
      <c r="J24" s="101">
        <f>OpEx!J8+OpEx!J9+OpEx!J10+OpEx!J11</f>
        <v/>
      </c>
      <c r="K24" s="101">
        <f>OpEx!K8+OpEx!K9+OpEx!K10+OpEx!K11</f>
        <v/>
      </c>
      <c r="L24" s="101">
        <f>OpEx!L8+OpEx!L9+OpEx!L10+OpEx!L11</f>
        <v/>
      </c>
      <c r="M24" s="101">
        <f>OpEx!M8+OpEx!M9+OpEx!M10+OpEx!M11</f>
        <v/>
      </c>
      <c r="N24" s="101">
        <f>OpEx!N8+OpEx!N9+OpEx!N10+OpEx!N11</f>
        <v/>
      </c>
      <c r="O24" s="101">
        <f>SUM(C24:N24)</f>
        <v/>
      </c>
      <c r="P24" s="101">
        <f>OpEx!P8+OpEx!P9+OpEx!P10+OpEx!P11</f>
        <v/>
      </c>
      <c r="Q24" s="101">
        <f>OpEx!Q8+OpEx!Q9+OpEx!Q10+OpEx!Q11</f>
        <v/>
      </c>
      <c r="R24" s="101">
        <f>OpEx!R8+OpEx!R9+OpEx!R10+OpEx!R11</f>
        <v/>
      </c>
      <c r="S24" s="101">
        <f>OpEx!S8+OpEx!S9+OpEx!S10+OpEx!S11</f>
        <v/>
      </c>
      <c r="T24" s="101">
        <f>OpEx!T8+OpEx!T9+OpEx!T10+OpEx!T11</f>
        <v/>
      </c>
      <c r="U24" s="101">
        <f>OpEx!U8+OpEx!U9+OpEx!U10+OpEx!U11</f>
        <v/>
      </c>
      <c r="V24" s="101">
        <f>OpEx!V8+OpEx!V9+OpEx!V10+OpEx!V11</f>
        <v/>
      </c>
      <c r="W24" s="101">
        <f>OpEx!W8+OpEx!W9+OpEx!W10+OpEx!W11</f>
        <v/>
      </c>
      <c r="X24" s="101">
        <f>OpEx!X8+OpEx!X9+OpEx!X10+OpEx!X11</f>
        <v/>
      </c>
      <c r="Y24" s="101">
        <f>OpEx!Y8+OpEx!Y9+OpEx!Y10+OpEx!Y11</f>
        <v/>
      </c>
      <c r="Z24" s="101">
        <f>OpEx!Z8+OpEx!Z9+OpEx!Z10+OpEx!Z11</f>
        <v/>
      </c>
      <c r="AA24" s="101">
        <f>OpEx!AA8+OpEx!AA9+OpEx!AA10+OpEx!AA11</f>
        <v/>
      </c>
      <c r="AB24" s="101">
        <f>SUM(P24:AA24)</f>
        <v/>
      </c>
      <c r="AC24" s="101">
        <f>OpEx!AC8+OpEx!AC9+OpEx!AC10+OpEx!AC11</f>
        <v/>
      </c>
      <c r="AD24" s="101">
        <f>OpEx!AD8+OpEx!AD9+OpEx!AD10+OpEx!AD11</f>
        <v/>
      </c>
      <c r="AE24" s="101">
        <f>OpEx!AE8+OpEx!AE9+OpEx!AE10+OpEx!AE11</f>
        <v/>
      </c>
      <c r="AF24" s="101">
        <f>OpEx!AF8+OpEx!AF9+OpEx!AF10+OpEx!AF11</f>
        <v/>
      </c>
      <c r="AG24" s="101">
        <f>OpEx!AG8+OpEx!AG9+OpEx!AG10+OpEx!AG11</f>
        <v/>
      </c>
      <c r="AH24" s="101">
        <f>OpEx!AH8+OpEx!AH9+OpEx!AH10+OpEx!AH11</f>
        <v/>
      </c>
      <c r="AI24" s="101">
        <f>OpEx!AI8+OpEx!AI9+OpEx!AI10+OpEx!AI11</f>
        <v/>
      </c>
      <c r="AJ24" s="101">
        <f>OpEx!AJ8+OpEx!AJ9+OpEx!AJ10+OpEx!AJ11</f>
        <v/>
      </c>
      <c r="AK24" s="101">
        <f>OpEx!AK8+OpEx!AK9+OpEx!AK10+OpEx!AK11</f>
        <v/>
      </c>
      <c r="AL24" s="101">
        <f>OpEx!AL8+OpEx!AL9+OpEx!AL10+OpEx!AL11</f>
        <v/>
      </c>
      <c r="AM24" s="101">
        <f>OpEx!AM8+OpEx!AM9+OpEx!AM10+OpEx!AM11</f>
        <v/>
      </c>
      <c r="AN24" s="101">
        <f>OpEx!AN8+OpEx!AN9+OpEx!AN10+OpEx!AN11</f>
        <v/>
      </c>
      <c r="AO24" s="101">
        <f>SUM(AC24:AN24)</f>
        <v/>
      </c>
    </row>
    <row r="25" ht="15" customHeight="1" s="64">
      <c r="B25" s="113" t="inlineStr">
        <is>
          <t xml:space="preserve">  Staff Cost % of Revenue</t>
        </is>
      </c>
      <c r="C25" s="114">
        <f>IF(Revenue!C30=0,0,C24/Revenue!C30)</f>
        <v/>
      </c>
      <c r="D25" s="114">
        <f>IF(Revenue!D30=0,0,D24/Revenue!D30)</f>
        <v/>
      </c>
      <c r="E25" s="114">
        <f>IF(Revenue!E30=0,0,E24/Revenue!E30)</f>
        <v/>
      </c>
      <c r="F25" s="114">
        <f>IF(Revenue!F30=0,0,F24/Revenue!F30)</f>
        <v/>
      </c>
      <c r="G25" s="114">
        <f>IF(Revenue!G30=0,0,G24/Revenue!G30)</f>
        <v/>
      </c>
      <c r="H25" s="114">
        <f>IF(Revenue!H30=0,0,H24/Revenue!H30)</f>
        <v/>
      </c>
      <c r="I25" s="114">
        <f>IF(Revenue!I30=0,0,I24/Revenue!I30)</f>
        <v/>
      </c>
      <c r="J25" s="114">
        <f>IF(Revenue!J30=0,0,J24/Revenue!J30)</f>
        <v/>
      </c>
      <c r="K25" s="114">
        <f>IF(Revenue!K30=0,0,K24/Revenue!K30)</f>
        <v/>
      </c>
      <c r="L25" s="114">
        <f>IF(Revenue!L30=0,0,L24/Revenue!L30)</f>
        <v/>
      </c>
      <c r="M25" s="114">
        <f>IF(Revenue!M30=0,0,M24/Revenue!M30)</f>
        <v/>
      </c>
      <c r="N25" s="114">
        <f>IF(Revenue!N30=0,0,N24/Revenue!N30)</f>
        <v/>
      </c>
      <c r="O25" s="114">
        <f>IF(Revenue!O30=0,0,O24/Revenue!O30)</f>
        <v/>
      </c>
      <c r="P25" s="114">
        <f>IF(Revenue!P30=0,0,P24/Revenue!P30)</f>
        <v/>
      </c>
      <c r="Q25" s="114">
        <f>IF(Revenue!Q30=0,0,Q24/Revenue!Q30)</f>
        <v/>
      </c>
      <c r="R25" s="114">
        <f>IF(Revenue!R30=0,0,R24/Revenue!R30)</f>
        <v/>
      </c>
      <c r="S25" s="114">
        <f>IF(Revenue!S30=0,0,S24/Revenue!S30)</f>
        <v/>
      </c>
      <c r="T25" s="114">
        <f>IF(Revenue!T30=0,0,T24/Revenue!T30)</f>
        <v/>
      </c>
      <c r="U25" s="114">
        <f>IF(Revenue!U30=0,0,U24/Revenue!U30)</f>
        <v/>
      </c>
      <c r="V25" s="114">
        <f>IF(Revenue!V30=0,0,V24/Revenue!V30)</f>
        <v/>
      </c>
      <c r="W25" s="114">
        <f>IF(Revenue!W30=0,0,W24/Revenue!W30)</f>
        <v/>
      </c>
      <c r="X25" s="114">
        <f>IF(Revenue!X30=0,0,X24/Revenue!X30)</f>
        <v/>
      </c>
      <c r="Y25" s="114">
        <f>IF(Revenue!Y30=0,0,Y24/Revenue!Y30)</f>
        <v/>
      </c>
      <c r="Z25" s="114">
        <f>IF(Revenue!Z30=0,0,Z24/Revenue!Z30)</f>
        <v/>
      </c>
      <c r="AA25" s="114">
        <f>IF(Revenue!AA30=0,0,AA24/Revenue!AA30)</f>
        <v/>
      </c>
      <c r="AB25" s="114">
        <f>IF(Revenue!AB30=0,0,AB24/Revenue!AB30)</f>
        <v/>
      </c>
      <c r="AC25" s="114">
        <f>IF(Revenue!AC30=0,0,AC24/Revenue!AC30)</f>
        <v/>
      </c>
      <c r="AD25" s="114">
        <f>IF(Revenue!AD30=0,0,AD24/Revenue!AD30)</f>
        <v/>
      </c>
      <c r="AE25" s="114">
        <f>IF(Revenue!AE30=0,0,AE24/Revenue!AE30)</f>
        <v/>
      </c>
      <c r="AF25" s="114">
        <f>IF(Revenue!AF30=0,0,AF24/Revenue!AF30)</f>
        <v/>
      </c>
      <c r="AG25" s="114">
        <f>IF(Revenue!AG30=0,0,AG24/Revenue!AG30)</f>
        <v/>
      </c>
      <c r="AH25" s="114">
        <f>IF(Revenue!AH30=0,0,AH24/Revenue!AH30)</f>
        <v/>
      </c>
      <c r="AI25" s="114">
        <f>IF(Revenue!AI30=0,0,AI24/Revenue!AI30)</f>
        <v/>
      </c>
      <c r="AJ25" s="114">
        <f>IF(Revenue!AJ30=0,0,AJ24/Revenue!AJ30)</f>
        <v/>
      </c>
      <c r="AK25" s="114">
        <f>IF(Revenue!AK30=0,0,AK24/Revenue!AK30)</f>
        <v/>
      </c>
      <c r="AL25" s="114">
        <f>IF(Revenue!AL30=0,0,AL24/Revenue!AL30)</f>
        <v/>
      </c>
      <c r="AM25" s="114">
        <f>IF(Revenue!AM30=0,0,AM24/Revenue!AM30)</f>
        <v/>
      </c>
      <c r="AN25" s="114">
        <f>IF(Revenue!AN30=0,0,AN24/Revenue!AN30)</f>
        <v/>
      </c>
      <c r="AO25" s="114">
        <f>IF(Revenue!AO30=0,0,AO24/Revenue!AO30)</f>
        <v/>
      </c>
    </row>
    <row r="26"/>
    <row r="27" ht="15" customHeight="1" s="64">
      <c r="B27" s="80" t="inlineStr">
        <is>
          <t>Total Rent &amp; Occupancy</t>
        </is>
      </c>
      <c r="C27" s="101">
        <f>OpEx!C14+OpEx!C15+OpEx!C16+OpEx!C17</f>
        <v/>
      </c>
      <c r="D27" s="101">
        <f>OpEx!D14+OpEx!D15+OpEx!D16+OpEx!D17</f>
        <v/>
      </c>
      <c r="E27" s="101">
        <f>OpEx!E14+OpEx!E15+OpEx!E16+OpEx!E17</f>
        <v/>
      </c>
      <c r="F27" s="101">
        <f>OpEx!F14+OpEx!F15+OpEx!F16+OpEx!F17</f>
        <v/>
      </c>
      <c r="G27" s="101">
        <f>OpEx!G14+OpEx!G15+OpEx!G16+OpEx!G17</f>
        <v/>
      </c>
      <c r="H27" s="101">
        <f>OpEx!H14+OpEx!H15+OpEx!H16+OpEx!H17</f>
        <v/>
      </c>
      <c r="I27" s="101">
        <f>OpEx!I14+OpEx!I15+OpEx!I16+OpEx!I17</f>
        <v/>
      </c>
      <c r="J27" s="101">
        <f>OpEx!J14+OpEx!J15+OpEx!J16+OpEx!J17</f>
        <v/>
      </c>
      <c r="K27" s="101">
        <f>OpEx!K14+OpEx!K15+OpEx!K16+OpEx!K17</f>
        <v/>
      </c>
      <c r="L27" s="101">
        <f>OpEx!L14+OpEx!L15+OpEx!L16+OpEx!L17</f>
        <v/>
      </c>
      <c r="M27" s="101">
        <f>OpEx!M14+OpEx!M15+OpEx!M16+OpEx!M17</f>
        <v/>
      </c>
      <c r="N27" s="101">
        <f>OpEx!N14+OpEx!N15+OpEx!N16+OpEx!N17</f>
        <v/>
      </c>
      <c r="O27" s="101">
        <f>SUM(C27:N27)</f>
        <v/>
      </c>
      <c r="P27" s="101">
        <f>OpEx!P14+OpEx!P15+OpEx!P16+OpEx!P17</f>
        <v/>
      </c>
      <c r="Q27" s="101">
        <f>OpEx!Q14+OpEx!Q15+OpEx!Q16+OpEx!Q17</f>
        <v/>
      </c>
      <c r="R27" s="101">
        <f>OpEx!R14+OpEx!R15+OpEx!R16+OpEx!R17</f>
        <v/>
      </c>
      <c r="S27" s="101">
        <f>OpEx!S14+OpEx!S15+OpEx!S16+OpEx!S17</f>
        <v/>
      </c>
      <c r="T27" s="101">
        <f>OpEx!T14+OpEx!T15+OpEx!T16+OpEx!T17</f>
        <v/>
      </c>
      <c r="U27" s="101">
        <f>OpEx!U14+OpEx!U15+OpEx!U16+OpEx!U17</f>
        <v/>
      </c>
      <c r="V27" s="101">
        <f>OpEx!V14+OpEx!V15+OpEx!V16+OpEx!V17</f>
        <v/>
      </c>
      <c r="W27" s="101">
        <f>OpEx!W14+OpEx!W15+OpEx!W16+OpEx!W17</f>
        <v/>
      </c>
      <c r="X27" s="101">
        <f>OpEx!X14+OpEx!X15+OpEx!X16+OpEx!X17</f>
        <v/>
      </c>
      <c r="Y27" s="101">
        <f>OpEx!Y14+OpEx!Y15+OpEx!Y16+OpEx!Y17</f>
        <v/>
      </c>
      <c r="Z27" s="101">
        <f>OpEx!Z14+OpEx!Z15+OpEx!Z16+OpEx!Z17</f>
        <v/>
      </c>
      <c r="AA27" s="101">
        <f>OpEx!AA14+OpEx!AA15+OpEx!AA16+OpEx!AA17</f>
        <v/>
      </c>
      <c r="AB27" s="101">
        <f>SUM(P27:AA27)</f>
        <v/>
      </c>
      <c r="AC27" s="101">
        <f>OpEx!AC14+OpEx!AC15+OpEx!AC16+OpEx!AC17</f>
        <v/>
      </c>
      <c r="AD27" s="101">
        <f>OpEx!AD14+OpEx!AD15+OpEx!AD16+OpEx!AD17</f>
        <v/>
      </c>
      <c r="AE27" s="101">
        <f>OpEx!AE14+OpEx!AE15+OpEx!AE16+OpEx!AE17</f>
        <v/>
      </c>
      <c r="AF27" s="101">
        <f>OpEx!AF14+OpEx!AF15+OpEx!AF16+OpEx!AF17</f>
        <v/>
      </c>
      <c r="AG27" s="101">
        <f>OpEx!AG14+OpEx!AG15+OpEx!AG16+OpEx!AG17</f>
        <v/>
      </c>
      <c r="AH27" s="101">
        <f>OpEx!AH14+OpEx!AH15+OpEx!AH16+OpEx!AH17</f>
        <v/>
      </c>
      <c r="AI27" s="101">
        <f>OpEx!AI14+OpEx!AI15+OpEx!AI16+OpEx!AI17</f>
        <v/>
      </c>
      <c r="AJ27" s="101">
        <f>OpEx!AJ14+OpEx!AJ15+OpEx!AJ16+OpEx!AJ17</f>
        <v/>
      </c>
      <c r="AK27" s="101">
        <f>OpEx!AK14+OpEx!AK15+OpEx!AK16+OpEx!AK17</f>
        <v/>
      </c>
      <c r="AL27" s="101">
        <f>OpEx!AL14+OpEx!AL15+OpEx!AL16+OpEx!AL17</f>
        <v/>
      </c>
      <c r="AM27" s="101">
        <f>OpEx!AM14+OpEx!AM15+OpEx!AM16+OpEx!AM17</f>
        <v/>
      </c>
      <c r="AN27" s="101">
        <f>OpEx!AN14+OpEx!AN15+OpEx!AN16+OpEx!AN17</f>
        <v/>
      </c>
      <c r="AO27" s="101">
        <f>SUM(AC27:AN27)</f>
        <v/>
      </c>
    </row>
    <row r="28" ht="15" customHeight="1" s="64">
      <c r="B28" s="113" t="inlineStr">
        <is>
          <t xml:space="preserve">  Rent % of Revenue</t>
        </is>
      </c>
      <c r="C28" s="114">
        <f>IF(Revenue!C30=0,0,C27/Revenue!C30)</f>
        <v/>
      </c>
      <c r="D28" s="114">
        <f>IF(Revenue!D30=0,0,D27/Revenue!D30)</f>
        <v/>
      </c>
      <c r="E28" s="114">
        <f>IF(Revenue!E30=0,0,E27/Revenue!E30)</f>
        <v/>
      </c>
      <c r="F28" s="114">
        <f>IF(Revenue!F30=0,0,F27/Revenue!F30)</f>
        <v/>
      </c>
      <c r="G28" s="114">
        <f>IF(Revenue!G30=0,0,G27/Revenue!G30)</f>
        <v/>
      </c>
      <c r="H28" s="114">
        <f>IF(Revenue!H30=0,0,H27/Revenue!H30)</f>
        <v/>
      </c>
      <c r="I28" s="114">
        <f>IF(Revenue!I30=0,0,I27/Revenue!I30)</f>
        <v/>
      </c>
      <c r="J28" s="114">
        <f>IF(Revenue!J30=0,0,J27/Revenue!J30)</f>
        <v/>
      </c>
      <c r="K28" s="114">
        <f>IF(Revenue!K30=0,0,K27/Revenue!K30)</f>
        <v/>
      </c>
      <c r="L28" s="114">
        <f>IF(Revenue!L30=0,0,L27/Revenue!L30)</f>
        <v/>
      </c>
      <c r="M28" s="114">
        <f>IF(Revenue!M30=0,0,M27/Revenue!M30)</f>
        <v/>
      </c>
      <c r="N28" s="114">
        <f>IF(Revenue!N30=0,0,N27/Revenue!N30)</f>
        <v/>
      </c>
      <c r="O28" s="114">
        <f>IF(Revenue!O30=0,0,O27/Revenue!O30)</f>
        <v/>
      </c>
      <c r="P28" s="114">
        <f>IF(Revenue!P30=0,0,P27/Revenue!P30)</f>
        <v/>
      </c>
      <c r="Q28" s="114">
        <f>IF(Revenue!Q30=0,0,Q27/Revenue!Q30)</f>
        <v/>
      </c>
      <c r="R28" s="114">
        <f>IF(Revenue!R30=0,0,R27/Revenue!R30)</f>
        <v/>
      </c>
      <c r="S28" s="114">
        <f>IF(Revenue!S30=0,0,S27/Revenue!S30)</f>
        <v/>
      </c>
      <c r="T28" s="114">
        <f>IF(Revenue!T30=0,0,T27/Revenue!T30)</f>
        <v/>
      </c>
      <c r="U28" s="114">
        <f>IF(Revenue!U30=0,0,U27/Revenue!U30)</f>
        <v/>
      </c>
      <c r="V28" s="114">
        <f>IF(Revenue!V30=0,0,V27/Revenue!V30)</f>
        <v/>
      </c>
      <c r="W28" s="114">
        <f>IF(Revenue!W30=0,0,W27/Revenue!W30)</f>
        <v/>
      </c>
      <c r="X28" s="114">
        <f>IF(Revenue!X30=0,0,X27/Revenue!X30)</f>
        <v/>
      </c>
      <c r="Y28" s="114">
        <f>IF(Revenue!Y30=0,0,Y27/Revenue!Y30)</f>
        <v/>
      </c>
      <c r="Z28" s="114">
        <f>IF(Revenue!Z30=0,0,Z27/Revenue!Z30)</f>
        <v/>
      </c>
      <c r="AA28" s="114">
        <f>IF(Revenue!AA30=0,0,AA27/Revenue!AA30)</f>
        <v/>
      </c>
      <c r="AB28" s="114">
        <f>IF(Revenue!AB30=0,0,AB27/Revenue!AB30)</f>
        <v/>
      </c>
      <c r="AC28" s="114">
        <f>IF(Revenue!AC30=0,0,AC27/Revenue!AC30)</f>
        <v/>
      </c>
      <c r="AD28" s="114">
        <f>IF(Revenue!AD30=0,0,AD27/Revenue!AD30)</f>
        <v/>
      </c>
      <c r="AE28" s="114">
        <f>IF(Revenue!AE30=0,0,AE27/Revenue!AE30)</f>
        <v/>
      </c>
      <c r="AF28" s="114">
        <f>IF(Revenue!AF30=0,0,AF27/Revenue!AF30)</f>
        <v/>
      </c>
      <c r="AG28" s="114">
        <f>IF(Revenue!AG30=0,0,AG27/Revenue!AG30)</f>
        <v/>
      </c>
      <c r="AH28" s="114">
        <f>IF(Revenue!AH30=0,0,AH27/Revenue!AH30)</f>
        <v/>
      </c>
      <c r="AI28" s="114">
        <f>IF(Revenue!AI30=0,0,AI27/Revenue!AI30)</f>
        <v/>
      </c>
      <c r="AJ28" s="114">
        <f>IF(Revenue!AJ30=0,0,AJ27/Revenue!AJ30)</f>
        <v/>
      </c>
      <c r="AK28" s="114">
        <f>IF(Revenue!AK30=0,0,AK27/Revenue!AK30)</f>
        <v/>
      </c>
      <c r="AL28" s="114">
        <f>IF(Revenue!AL30=0,0,AL27/Revenue!AL30)</f>
        <v/>
      </c>
      <c r="AM28" s="114">
        <f>IF(Revenue!AM30=0,0,AM27/Revenue!AM30)</f>
        <v/>
      </c>
      <c r="AN28" s="114">
        <f>IF(Revenue!AN30=0,0,AN27/Revenue!AN30)</f>
        <v/>
      </c>
      <c r="AO28" s="114">
        <f>IF(Revenue!AO30=0,0,AO27/Revenue!AO30)</f>
        <v/>
      </c>
    </row>
    <row r="29" ht="15" customHeight="1" s="64"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  <c r="AA29" s="80" t="n"/>
      <c r="AB29" s="80" t="n"/>
      <c r="AC29" s="80" t="n"/>
      <c r="AD29" s="80" t="n"/>
      <c r="AE29" s="80" t="n"/>
      <c r="AF29" s="80" t="n"/>
      <c r="AG29" s="80" t="n"/>
      <c r="AH29" s="80" t="n"/>
      <c r="AI29" s="80" t="n"/>
      <c r="AJ29" s="80" t="n"/>
      <c r="AK29" s="80" t="n"/>
      <c r="AL29" s="80" t="n"/>
      <c r="AM29" s="80" t="n"/>
      <c r="AN29" s="80" t="n"/>
      <c r="AO29" s="80" t="n"/>
      <c r="AP29" s="80" t="n"/>
      <c r="AQ29" s="80" t="n"/>
      <c r="AR29" s="80" t="n"/>
    </row>
    <row r="30" ht="15" customHeight="1" s="64">
      <c r="B30" s="118" t="inlineStr">
        <is>
          <t>EBITDA</t>
        </is>
      </c>
      <c r="C30" s="119">
        <f>C15-C18</f>
        <v/>
      </c>
      <c r="D30" s="119">
        <f>D15-D18</f>
        <v/>
      </c>
      <c r="E30" s="119">
        <f>E15-E18</f>
        <v/>
      </c>
      <c r="F30" s="119">
        <f>F15-F18</f>
        <v/>
      </c>
      <c r="G30" s="119">
        <f>G15-G18</f>
        <v/>
      </c>
      <c r="H30" s="119">
        <f>H15-H18</f>
        <v/>
      </c>
      <c r="I30" s="119">
        <f>I15-I18</f>
        <v/>
      </c>
      <c r="J30" s="119">
        <f>J15-J18</f>
        <v/>
      </c>
      <c r="K30" s="119">
        <f>K15-K18</f>
        <v/>
      </c>
      <c r="L30" s="119">
        <f>L15-L18</f>
        <v/>
      </c>
      <c r="M30" s="119">
        <f>M15-M18</f>
        <v/>
      </c>
      <c r="N30" s="119">
        <f>N15-N18</f>
        <v/>
      </c>
      <c r="O30" s="119">
        <f>SUM(C30:N30)</f>
        <v/>
      </c>
      <c r="P30" s="119">
        <f>P15-P18</f>
        <v/>
      </c>
      <c r="Q30" s="119">
        <f>Q15-Q18</f>
        <v/>
      </c>
      <c r="R30" s="119">
        <f>R15-R18</f>
        <v/>
      </c>
      <c r="S30" s="119">
        <f>S15-S18</f>
        <v/>
      </c>
      <c r="T30" s="119">
        <f>T15-T18</f>
        <v/>
      </c>
      <c r="U30" s="119">
        <f>U15-U18</f>
        <v/>
      </c>
      <c r="V30" s="119">
        <f>V15-V18</f>
        <v/>
      </c>
      <c r="W30" s="119">
        <f>W15-W18</f>
        <v/>
      </c>
      <c r="X30" s="119">
        <f>X15-X18</f>
        <v/>
      </c>
      <c r="Y30" s="119">
        <f>Y15-Y18</f>
        <v/>
      </c>
      <c r="Z30" s="119">
        <f>Z15-Z18</f>
        <v/>
      </c>
      <c r="AA30" s="119">
        <f>AA15-AA18</f>
        <v/>
      </c>
      <c r="AB30" s="119">
        <f>SUM(P30:AA30)</f>
        <v/>
      </c>
      <c r="AC30" s="119">
        <f>AC15-AC18</f>
        <v/>
      </c>
      <c r="AD30" s="119">
        <f>AD15-AD18</f>
        <v/>
      </c>
      <c r="AE30" s="119">
        <f>AE15-AE18</f>
        <v/>
      </c>
      <c r="AF30" s="119">
        <f>AF15-AF18</f>
        <v/>
      </c>
      <c r="AG30" s="119">
        <f>AG15-AG18</f>
        <v/>
      </c>
      <c r="AH30" s="119">
        <f>AH15-AH18</f>
        <v/>
      </c>
      <c r="AI30" s="119">
        <f>AI15-AI18</f>
        <v/>
      </c>
      <c r="AJ30" s="119">
        <f>AJ15-AJ18</f>
        <v/>
      </c>
      <c r="AK30" s="119">
        <f>AK15-AK18</f>
        <v/>
      </c>
      <c r="AL30" s="119">
        <f>AL15-AL18</f>
        <v/>
      </c>
      <c r="AM30" s="119">
        <f>AM15-AM18</f>
        <v/>
      </c>
      <c r="AN30" s="119">
        <f>AN15-AN18</f>
        <v/>
      </c>
      <c r="AO30" s="119">
        <f>SUM(AC30:AN30)</f>
        <v/>
      </c>
      <c r="AP30" s="80" t="n"/>
      <c r="AQ30" s="80" t="n"/>
      <c r="AR30" s="80" t="n"/>
    </row>
    <row r="31" ht="15" customHeight="1" s="64">
      <c r="B31" s="113" t="inlineStr">
        <is>
          <t xml:space="preserve">  EBITDA Margin %</t>
        </is>
      </c>
      <c r="C31" s="92">
        <f>IF(Revenue!C30=0,0,C30/Revenue!C30)</f>
        <v/>
      </c>
      <c r="D31" s="92">
        <f>IF(Revenue!D30=0,0,D30/Revenue!D30)</f>
        <v/>
      </c>
      <c r="E31" s="92">
        <f>IF(Revenue!E30=0,0,E30/Revenue!E30)</f>
        <v/>
      </c>
      <c r="F31" s="92">
        <f>IF(Revenue!F30=0,0,F30/Revenue!F30)</f>
        <v/>
      </c>
      <c r="G31" s="92">
        <f>IF(Revenue!G30=0,0,G30/Revenue!G30)</f>
        <v/>
      </c>
      <c r="H31" s="92">
        <f>IF(Revenue!H30=0,0,H30/Revenue!H30)</f>
        <v/>
      </c>
      <c r="I31" s="92">
        <f>IF(Revenue!I30=0,0,I30/Revenue!I30)</f>
        <v/>
      </c>
      <c r="J31" s="92">
        <f>IF(Revenue!J30=0,0,J30/Revenue!J30)</f>
        <v/>
      </c>
      <c r="K31" s="92">
        <f>IF(Revenue!K30=0,0,K30/Revenue!K30)</f>
        <v/>
      </c>
      <c r="L31" s="92">
        <f>IF(Revenue!L30=0,0,L30/Revenue!L30)</f>
        <v/>
      </c>
      <c r="M31" s="92">
        <f>IF(Revenue!M30=0,0,M30/Revenue!M30)</f>
        <v/>
      </c>
      <c r="N31" s="92">
        <f>IF(Revenue!N30=0,0,N30/Revenue!N30)</f>
        <v/>
      </c>
      <c r="O31" s="92">
        <f>IF(Revenue!O30=0,0,O30/Revenue!O30)</f>
        <v/>
      </c>
      <c r="P31" s="92">
        <f>IF(Revenue!P30=0,0,P30/Revenue!P30)</f>
        <v/>
      </c>
      <c r="Q31" s="92">
        <f>IF(Revenue!Q30=0,0,Q30/Revenue!Q30)</f>
        <v/>
      </c>
      <c r="R31" s="92">
        <f>IF(Revenue!R30=0,0,R30/Revenue!R30)</f>
        <v/>
      </c>
      <c r="S31" s="92">
        <f>IF(Revenue!S30=0,0,S30/Revenue!S30)</f>
        <v/>
      </c>
      <c r="T31" s="92">
        <f>IF(Revenue!T30=0,0,T30/Revenue!T30)</f>
        <v/>
      </c>
      <c r="U31" s="92">
        <f>IF(Revenue!U30=0,0,U30/Revenue!U30)</f>
        <v/>
      </c>
      <c r="V31" s="92">
        <f>IF(Revenue!V30=0,0,V30/Revenue!V30)</f>
        <v/>
      </c>
      <c r="W31" s="92">
        <f>IF(Revenue!W30=0,0,W30/Revenue!W30)</f>
        <v/>
      </c>
      <c r="X31" s="92">
        <f>IF(Revenue!X30=0,0,X30/Revenue!X30)</f>
        <v/>
      </c>
      <c r="Y31" s="92">
        <f>IF(Revenue!Y30=0,0,Y30/Revenue!Y30)</f>
        <v/>
      </c>
      <c r="Z31" s="92">
        <f>IF(Revenue!Z30=0,0,Z30/Revenue!Z30)</f>
        <v/>
      </c>
      <c r="AA31" s="92">
        <f>IF(Revenue!AA30=0,0,AA30/Revenue!AA30)</f>
        <v/>
      </c>
      <c r="AB31" s="92">
        <f>IF(Revenue!AB30=0,0,AB30/Revenue!AB30)</f>
        <v/>
      </c>
      <c r="AC31" s="92">
        <f>IF(Revenue!AC30=0,0,AC30/Revenue!AC30)</f>
        <v/>
      </c>
      <c r="AD31" s="92">
        <f>IF(Revenue!AD30=0,0,AD30/Revenue!AD30)</f>
        <v/>
      </c>
      <c r="AE31" s="92">
        <f>IF(Revenue!AE30=0,0,AE30/Revenue!AE30)</f>
        <v/>
      </c>
      <c r="AF31" s="92">
        <f>IF(Revenue!AF30=0,0,AF30/Revenue!AF30)</f>
        <v/>
      </c>
      <c r="AG31" s="92">
        <f>IF(Revenue!AG30=0,0,AG30/Revenue!AG30)</f>
        <v/>
      </c>
      <c r="AH31" s="92">
        <f>IF(Revenue!AH30=0,0,AH30/Revenue!AH30)</f>
        <v/>
      </c>
      <c r="AI31" s="92">
        <f>IF(Revenue!AI30=0,0,AI30/Revenue!AI30)</f>
        <v/>
      </c>
      <c r="AJ31" s="92">
        <f>IF(Revenue!AJ30=0,0,AJ30/Revenue!AJ30)</f>
        <v/>
      </c>
      <c r="AK31" s="92">
        <f>IF(Revenue!AK30=0,0,AK30/Revenue!AK30)</f>
        <v/>
      </c>
      <c r="AL31" s="92">
        <f>IF(Revenue!AL30=0,0,AL30/Revenue!AL30)</f>
        <v/>
      </c>
      <c r="AM31" s="92">
        <f>IF(Revenue!AM30=0,0,AM30/Revenue!AM30)</f>
        <v/>
      </c>
      <c r="AN31" s="92">
        <f>IF(Revenue!AN30=0,0,AN30/Revenue!AN30)</f>
        <v/>
      </c>
      <c r="AO31" s="92">
        <f>IF(Revenue!AO30=0,0,AO30/Revenue!AO30)</f>
        <v/>
      </c>
      <c r="AP31" s="80" t="n"/>
      <c r="AQ31" s="80" t="n"/>
      <c r="AR31" s="80" t="n"/>
    </row>
    <row r="32" ht="15" customHeight="1" s="64"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  <c r="AA32" s="80" t="n"/>
      <c r="AB32" s="80" t="n"/>
      <c r="AC32" s="80" t="n"/>
      <c r="AD32" s="80" t="n"/>
      <c r="AE32" s="80" t="n"/>
      <c r="AF32" s="80" t="n"/>
      <c r="AG32" s="80" t="n"/>
      <c r="AH32" s="80" t="n"/>
      <c r="AI32" s="80" t="n"/>
      <c r="AJ32" s="80" t="n"/>
      <c r="AK32" s="80" t="n"/>
      <c r="AL32" s="80" t="n"/>
      <c r="AM32" s="80" t="n"/>
      <c r="AN32" s="80" t="n"/>
      <c r="AO32" s="80" t="n"/>
      <c r="AP32" s="80" t="n"/>
      <c r="AQ32" s="80" t="n"/>
      <c r="AR32" s="80" t="n"/>
    </row>
    <row r="33" ht="15" customHeight="1" s="64">
      <c r="B33" s="80" t="inlineStr">
        <is>
          <t>Management Incentive Fee (12%)</t>
        </is>
      </c>
      <c r="C33" s="101" t="n">
        <v>0</v>
      </c>
      <c r="D33" s="101" t="n">
        <v>0</v>
      </c>
      <c r="E33" s="101" t="n">
        <v>0</v>
      </c>
      <c r="F33" s="101" t="n">
        <v>0</v>
      </c>
      <c r="G33" s="101" t="n">
        <v>0</v>
      </c>
      <c r="H33" s="101" t="n">
        <v>0</v>
      </c>
      <c r="I33" s="101" t="n">
        <v>0</v>
      </c>
      <c r="J33" s="101" t="n">
        <v>0</v>
      </c>
      <c r="K33" s="101" t="n">
        <v>0</v>
      </c>
      <c r="L33" s="101" t="n">
        <v>0</v>
      </c>
      <c r="M33" s="101" t="n">
        <v>0</v>
      </c>
      <c r="N33" s="101" t="n">
        <v>0</v>
      </c>
      <c r="O33" s="101" t="n">
        <v>0</v>
      </c>
      <c r="P33" s="101">
        <f>IF(P30&gt;0,P30*Assumptions!H53,0)</f>
        <v/>
      </c>
      <c r="Q33" s="101">
        <f>IF(Q30&gt;0,Q30*Assumptions!H53,0)</f>
        <v/>
      </c>
      <c r="R33" s="101">
        <f>IF(R30&gt;0,R30*Assumptions!H53,0)</f>
        <v/>
      </c>
      <c r="S33" s="101">
        <f>IF(S30&gt;0,S30*Assumptions!H53,0)</f>
        <v/>
      </c>
      <c r="T33" s="101">
        <f>IF(T30&gt;0,T30*Assumptions!H53,0)</f>
        <v/>
      </c>
      <c r="U33" s="101">
        <f>IF(U30&gt;0,U30*Assumptions!H53,0)</f>
        <v/>
      </c>
      <c r="V33" s="101">
        <f>IF(V30&gt;0,V30*Assumptions!H53,0)</f>
        <v/>
      </c>
      <c r="W33" s="101">
        <f>IF(W30&gt;0,W30*Assumptions!H53,0)</f>
        <v/>
      </c>
      <c r="X33" s="101">
        <f>IF(X30&gt;0,X30*Assumptions!H53,0)</f>
        <v/>
      </c>
      <c r="Y33" s="101">
        <f>IF(Y30&gt;0,Y30*Assumptions!H53,0)</f>
        <v/>
      </c>
      <c r="Z33" s="101">
        <f>IF(Z30&gt;0,Z30*Assumptions!H53,0)</f>
        <v/>
      </c>
      <c r="AA33" s="101">
        <f>IF(AA30&gt;0,AA30*Assumptions!H53,0)</f>
        <v/>
      </c>
      <c r="AB33" s="101">
        <f>SUM(P33:AA33)</f>
        <v/>
      </c>
      <c r="AC33" s="101">
        <f>IF(AC30&gt;0,AC30*Assumptions!H53,0)</f>
        <v/>
      </c>
      <c r="AD33" s="101">
        <f>IF(AD30&gt;0,AD30*Assumptions!H53,0)</f>
        <v/>
      </c>
      <c r="AE33" s="101">
        <f>IF(AE30&gt;0,AE30*Assumptions!H53,0)</f>
        <v/>
      </c>
      <c r="AF33" s="101">
        <f>IF(AF30&gt;0,AF30*Assumptions!H53,0)</f>
        <v/>
      </c>
      <c r="AG33" s="101">
        <f>IF(AG30&gt;0,AG30*Assumptions!H53,0)</f>
        <v/>
      </c>
      <c r="AH33" s="101">
        <f>IF(AH30&gt;0,AH30*Assumptions!H53,0)</f>
        <v/>
      </c>
      <c r="AI33" s="101">
        <f>IF(AI30&gt;0,AI30*Assumptions!H53,0)</f>
        <v/>
      </c>
      <c r="AJ33" s="101">
        <f>IF(AJ30&gt;0,AJ30*Assumptions!H53,0)</f>
        <v/>
      </c>
      <c r="AK33" s="101">
        <f>IF(AK30&gt;0,AK30*Assumptions!H53,0)</f>
        <v/>
      </c>
      <c r="AL33" s="101">
        <f>IF(AL30&gt;0,AL30*Assumptions!H53,0)</f>
        <v/>
      </c>
      <c r="AM33" s="101">
        <f>IF(AM30&gt;0,AM30*Assumptions!H53,0)</f>
        <v/>
      </c>
      <c r="AN33" s="101">
        <f>IF(AN30&gt;0,AN30*Assumptions!H53,0)</f>
        <v/>
      </c>
      <c r="AO33" s="101">
        <f>SUM(AC33:AN33)</f>
        <v/>
      </c>
      <c r="AP33" s="80" t="n"/>
      <c r="AQ33" s="80" t="n"/>
      <c r="AR33" s="80" t="n"/>
    </row>
    <row r="34" ht="15" customHeight="1" s="64"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  <c r="AA34" s="80" t="n"/>
      <c r="AB34" s="80" t="n"/>
      <c r="AC34" s="80" t="n"/>
      <c r="AD34" s="80" t="n"/>
      <c r="AE34" s="80" t="n"/>
      <c r="AF34" s="80" t="n"/>
      <c r="AG34" s="80" t="n"/>
      <c r="AH34" s="80" t="n"/>
      <c r="AI34" s="80" t="n"/>
      <c r="AJ34" s="80" t="n"/>
      <c r="AK34" s="80" t="n"/>
      <c r="AL34" s="80" t="n"/>
      <c r="AM34" s="80" t="n"/>
      <c r="AN34" s="80" t="n"/>
      <c r="AO34" s="80" t="n"/>
      <c r="AP34" s="80" t="n"/>
      <c r="AQ34" s="80" t="n"/>
      <c r="AR34" s="80" t="n"/>
    </row>
    <row r="35" ht="15" customHeight="1" s="64">
      <c r="B35" s="120" t="inlineStr">
        <is>
          <t>NET INCOME (to Shareholders)</t>
        </is>
      </c>
      <c r="C35" s="121">
        <f>C30-C33</f>
        <v/>
      </c>
      <c r="D35" s="121">
        <f>D30-D33</f>
        <v/>
      </c>
      <c r="E35" s="121">
        <f>E30-E33</f>
        <v/>
      </c>
      <c r="F35" s="121">
        <f>F30-F33</f>
        <v/>
      </c>
      <c r="G35" s="121">
        <f>G30-G33</f>
        <v/>
      </c>
      <c r="H35" s="121">
        <f>H30-H33</f>
        <v/>
      </c>
      <c r="I35" s="121">
        <f>I30-I33</f>
        <v/>
      </c>
      <c r="J35" s="121">
        <f>J30-J33</f>
        <v/>
      </c>
      <c r="K35" s="121">
        <f>K30-K33</f>
        <v/>
      </c>
      <c r="L35" s="121">
        <f>L30-L33</f>
        <v/>
      </c>
      <c r="M35" s="121">
        <f>M30-M33</f>
        <v/>
      </c>
      <c r="N35" s="121">
        <f>N30-N33</f>
        <v/>
      </c>
      <c r="O35" s="121">
        <f>SUM(C35:N35)</f>
        <v/>
      </c>
      <c r="P35" s="121">
        <f>P30-P33</f>
        <v/>
      </c>
      <c r="Q35" s="121">
        <f>Q30-Q33</f>
        <v/>
      </c>
      <c r="R35" s="121">
        <f>R30-R33</f>
        <v/>
      </c>
      <c r="S35" s="121">
        <f>S30-S33</f>
        <v/>
      </c>
      <c r="T35" s="121">
        <f>T30-T33</f>
        <v/>
      </c>
      <c r="U35" s="121">
        <f>U30-U33</f>
        <v/>
      </c>
      <c r="V35" s="121">
        <f>V30-V33</f>
        <v/>
      </c>
      <c r="W35" s="121">
        <f>W30-W33</f>
        <v/>
      </c>
      <c r="X35" s="121">
        <f>X30-X33</f>
        <v/>
      </c>
      <c r="Y35" s="121">
        <f>Y30-Y33</f>
        <v/>
      </c>
      <c r="Z35" s="121">
        <f>Z30-Z33</f>
        <v/>
      </c>
      <c r="AA35" s="121">
        <f>AA30-AA33</f>
        <v/>
      </c>
      <c r="AB35" s="121">
        <f>SUM(P35:AA35)</f>
        <v/>
      </c>
      <c r="AC35" s="121">
        <f>AC30-AC33</f>
        <v/>
      </c>
      <c r="AD35" s="121">
        <f>AD30-AD33</f>
        <v/>
      </c>
      <c r="AE35" s="121">
        <f>AE30-AE33</f>
        <v/>
      </c>
      <c r="AF35" s="121">
        <f>AF30-AF33</f>
        <v/>
      </c>
      <c r="AG35" s="121">
        <f>AG30-AG33</f>
        <v/>
      </c>
      <c r="AH35" s="121">
        <f>AH30-AH33</f>
        <v/>
      </c>
      <c r="AI35" s="121">
        <f>AI30-AI33</f>
        <v/>
      </c>
      <c r="AJ35" s="121">
        <f>AJ30-AJ33</f>
        <v/>
      </c>
      <c r="AK35" s="121">
        <f>AK30-AK33</f>
        <v/>
      </c>
      <c r="AL35" s="121">
        <f>AL30-AL33</f>
        <v/>
      </c>
      <c r="AM35" s="121">
        <f>AM30-AM33</f>
        <v/>
      </c>
      <c r="AN35" s="121">
        <f>AN30-AN33</f>
        <v/>
      </c>
      <c r="AO35" s="121">
        <f>SUM(AC35:AN35)</f>
        <v/>
      </c>
      <c r="AP35" s="80" t="n"/>
      <c r="AQ35" s="80" t="n"/>
      <c r="AR35" s="80" t="n"/>
    </row>
    <row r="36" ht="15" customHeight="1" s="64">
      <c r="B36" s="113" t="inlineStr">
        <is>
          <t xml:space="preserve">  Net Margin %</t>
        </is>
      </c>
      <c r="C36" s="92">
        <f>IF(Revenue!C30=0,0,C35/Revenue!C30)</f>
        <v/>
      </c>
      <c r="D36" s="92">
        <f>IF(Revenue!D30=0,0,D35/Revenue!D30)</f>
        <v/>
      </c>
      <c r="E36" s="92">
        <f>IF(Revenue!E30=0,0,E35/Revenue!E30)</f>
        <v/>
      </c>
      <c r="F36" s="92">
        <f>IF(Revenue!F30=0,0,F35/Revenue!F30)</f>
        <v/>
      </c>
      <c r="G36" s="92">
        <f>IF(Revenue!G30=0,0,G35/Revenue!G30)</f>
        <v/>
      </c>
      <c r="H36" s="92">
        <f>IF(Revenue!H30=0,0,H35/Revenue!H30)</f>
        <v/>
      </c>
      <c r="I36" s="92">
        <f>IF(Revenue!I30=0,0,I35/Revenue!I30)</f>
        <v/>
      </c>
      <c r="J36" s="92">
        <f>IF(Revenue!J30=0,0,J35/Revenue!J30)</f>
        <v/>
      </c>
      <c r="K36" s="92">
        <f>IF(Revenue!K30=0,0,K35/Revenue!K30)</f>
        <v/>
      </c>
      <c r="L36" s="92">
        <f>IF(Revenue!L30=0,0,L35/Revenue!L30)</f>
        <v/>
      </c>
      <c r="M36" s="92">
        <f>IF(Revenue!M30=0,0,M35/Revenue!M30)</f>
        <v/>
      </c>
      <c r="N36" s="92">
        <f>IF(Revenue!N30=0,0,N35/Revenue!N30)</f>
        <v/>
      </c>
      <c r="O36" s="92">
        <f>IF(Revenue!O30=0,0,O35/Revenue!O30)</f>
        <v/>
      </c>
      <c r="P36" s="92">
        <f>IF(Revenue!P30=0,0,P35/Revenue!P30)</f>
        <v/>
      </c>
      <c r="Q36" s="92">
        <f>IF(Revenue!Q30=0,0,Q35/Revenue!Q30)</f>
        <v/>
      </c>
      <c r="R36" s="92">
        <f>IF(Revenue!R30=0,0,R35/Revenue!R30)</f>
        <v/>
      </c>
      <c r="S36" s="92">
        <f>IF(Revenue!S30=0,0,S35/Revenue!S30)</f>
        <v/>
      </c>
      <c r="T36" s="92">
        <f>IF(Revenue!T30=0,0,T35/Revenue!T30)</f>
        <v/>
      </c>
      <c r="U36" s="92">
        <f>IF(Revenue!U30=0,0,U35/Revenue!U30)</f>
        <v/>
      </c>
      <c r="V36" s="92">
        <f>IF(Revenue!V30=0,0,V35/Revenue!V30)</f>
        <v/>
      </c>
      <c r="W36" s="92">
        <f>IF(Revenue!W30=0,0,W35/Revenue!W30)</f>
        <v/>
      </c>
      <c r="X36" s="92">
        <f>IF(Revenue!X30=0,0,X35/Revenue!X30)</f>
        <v/>
      </c>
      <c r="Y36" s="92">
        <f>IF(Revenue!Y30=0,0,Y35/Revenue!Y30)</f>
        <v/>
      </c>
      <c r="Z36" s="92">
        <f>IF(Revenue!Z30=0,0,Z35/Revenue!Z30)</f>
        <v/>
      </c>
      <c r="AA36" s="92">
        <f>IF(Revenue!AA30=0,0,AA35/Revenue!AA30)</f>
        <v/>
      </c>
      <c r="AB36" s="92">
        <f>IF(Revenue!AB30=0,0,AB35/Revenue!AB30)</f>
        <v/>
      </c>
      <c r="AC36" s="92">
        <f>IF(Revenue!AC30=0,0,AC35/Revenue!AC30)</f>
        <v/>
      </c>
      <c r="AD36" s="92">
        <f>IF(Revenue!AD30=0,0,AD35/Revenue!AD30)</f>
        <v/>
      </c>
      <c r="AE36" s="92">
        <f>IF(Revenue!AE30=0,0,AE35/Revenue!AE30)</f>
        <v/>
      </c>
      <c r="AF36" s="92">
        <f>IF(Revenue!AF30=0,0,AF35/Revenue!AF30)</f>
        <v/>
      </c>
      <c r="AG36" s="92">
        <f>IF(Revenue!AG30=0,0,AG35/Revenue!AG30)</f>
        <v/>
      </c>
      <c r="AH36" s="92">
        <f>IF(Revenue!AH30=0,0,AH35/Revenue!AH30)</f>
        <v/>
      </c>
      <c r="AI36" s="92">
        <f>IF(Revenue!AI30=0,0,AI35/Revenue!AI30)</f>
        <v/>
      </c>
      <c r="AJ36" s="92">
        <f>IF(Revenue!AJ30=0,0,AJ35/Revenue!AJ30)</f>
        <v/>
      </c>
      <c r="AK36" s="92">
        <f>IF(Revenue!AK30=0,0,AK35/Revenue!AK30)</f>
        <v/>
      </c>
      <c r="AL36" s="92">
        <f>IF(Revenue!AL30=0,0,AL35/Revenue!AL30)</f>
        <v/>
      </c>
      <c r="AM36" s="92">
        <f>IF(Revenue!AM30=0,0,AM35/Revenue!AM30)</f>
        <v/>
      </c>
      <c r="AN36" s="92">
        <f>IF(Revenue!AN30=0,0,AN35/Revenue!AN30)</f>
        <v/>
      </c>
      <c r="AO36" s="92">
        <f>IF(Revenue!AO30=0,0,AO35/Revenue!AO30)</f>
        <v/>
      </c>
      <c r="AP36" s="80" t="n"/>
      <c r="AQ36" s="80" t="n"/>
      <c r="AR36" s="80" t="n"/>
    </row>
    <row r="37" ht="15" customHeight="1" s="64"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  <c r="AA37" s="80" t="n"/>
      <c r="AB37" s="80" t="n"/>
      <c r="AC37" s="80" t="n"/>
      <c r="AD37" s="80" t="n"/>
      <c r="AE37" s="80" t="n"/>
      <c r="AF37" s="80" t="n"/>
      <c r="AG37" s="80" t="n"/>
      <c r="AH37" s="80" t="n"/>
      <c r="AI37" s="80" t="n"/>
      <c r="AJ37" s="80" t="n"/>
      <c r="AK37" s="80" t="n"/>
      <c r="AL37" s="80" t="n"/>
      <c r="AM37" s="80" t="n"/>
      <c r="AN37" s="80" t="n"/>
      <c r="AO37" s="80" t="n"/>
      <c r="AP37" s="80" t="n"/>
      <c r="AQ37" s="80" t="n"/>
      <c r="AR37" s="80" t="n"/>
    </row>
    <row r="38" ht="15" customHeight="1" s="64"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  <c r="AA38" s="80" t="n"/>
      <c r="AB38" s="80" t="n"/>
      <c r="AC38" s="80" t="n"/>
      <c r="AD38" s="80" t="n"/>
      <c r="AE38" s="80" t="n"/>
      <c r="AF38" s="80" t="n"/>
      <c r="AG38" s="80" t="n"/>
      <c r="AH38" s="80" t="n"/>
      <c r="AI38" s="80" t="n"/>
      <c r="AJ38" s="80" t="n"/>
      <c r="AK38" s="80" t="n"/>
      <c r="AL38" s="80" t="n"/>
      <c r="AM38" s="80" t="n"/>
      <c r="AN38" s="80" t="n"/>
      <c r="AO38" s="80" t="n"/>
      <c r="AP38" s="80" t="n"/>
      <c r="AQ38" s="80" t="n"/>
      <c r="AR38" s="80" t="n"/>
    </row>
    <row r="39" ht="15" customHeight="1" s="64"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  <c r="AA39" s="80" t="n"/>
      <c r="AB39" s="80" t="n"/>
      <c r="AC39" s="80" t="n"/>
      <c r="AD39" s="80" t="n"/>
      <c r="AE39" s="80" t="n"/>
      <c r="AF39" s="80" t="n"/>
      <c r="AG39" s="80" t="n"/>
      <c r="AH39" s="80" t="n"/>
      <c r="AI39" s="80" t="n"/>
      <c r="AJ39" s="80" t="n"/>
      <c r="AK39" s="80" t="n"/>
      <c r="AL39" s="80" t="n"/>
      <c r="AM39" s="80" t="n"/>
      <c r="AN39" s="80" t="n"/>
      <c r="AO39" s="80" t="n"/>
      <c r="AP39" s="80" t="n"/>
      <c r="AQ39" s="80" t="n"/>
      <c r="AR39" s="80" t="n"/>
    </row>
    <row r="40" ht="15" customHeight="1" s="64"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  <c r="AA40" s="80" t="n"/>
      <c r="AB40" s="80" t="n"/>
      <c r="AC40" s="80" t="n"/>
      <c r="AD40" s="80" t="n"/>
      <c r="AE40" s="80" t="n"/>
      <c r="AF40" s="80" t="n"/>
      <c r="AG40" s="80" t="n"/>
      <c r="AH40" s="80" t="n"/>
      <c r="AI40" s="80" t="n"/>
      <c r="AJ40" s="80" t="n"/>
      <c r="AK40" s="80" t="n"/>
      <c r="AL40" s="80" t="n"/>
      <c r="AM40" s="80" t="n"/>
      <c r="AN40" s="80" t="n"/>
      <c r="AO40" s="80" t="n"/>
      <c r="AP40" s="80" t="n"/>
      <c r="AQ40" s="80" t="n"/>
      <c r="AR40" s="80" t="n"/>
    </row>
    <row r="41" ht="15" customHeight="1" s="64"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  <c r="AA41" s="80" t="n"/>
      <c r="AB41" s="80" t="n"/>
      <c r="AC41" s="80" t="n"/>
      <c r="AD41" s="80" t="n"/>
      <c r="AE41" s="80" t="n"/>
      <c r="AF41" s="80" t="n"/>
      <c r="AG41" s="80" t="n"/>
      <c r="AH41" s="80" t="n"/>
      <c r="AI41" s="80" t="n"/>
      <c r="AJ41" s="80" t="n"/>
      <c r="AK41" s="80" t="n"/>
      <c r="AL41" s="80" t="n"/>
      <c r="AM41" s="80" t="n"/>
      <c r="AN41" s="80" t="n"/>
      <c r="AO41" s="80" t="n"/>
      <c r="AP41" s="80" t="n"/>
      <c r="AQ41" s="80" t="n"/>
      <c r="AR41" s="80" t="n"/>
    </row>
    <row r="42" ht="15" customHeight="1" s="64">
      <c r="B42" s="80" t="inlineStr">
        <is>
          <t>EBITDA</t>
        </is>
      </c>
      <c r="C42" s="80">
        <f>C15-C18</f>
        <v/>
      </c>
      <c r="D42" s="80">
        <f>D15-D18</f>
        <v/>
      </c>
      <c r="E42" s="80">
        <f>E15-E18</f>
        <v/>
      </c>
      <c r="F42" s="80">
        <f>F15-F18</f>
        <v/>
      </c>
      <c r="G42" s="80">
        <f>G15-G18</f>
        <v/>
      </c>
      <c r="H42" s="80">
        <f>H15-H18</f>
        <v/>
      </c>
      <c r="I42" s="80">
        <f>I15-I18</f>
        <v/>
      </c>
      <c r="J42" s="80">
        <f>J15-J18</f>
        <v/>
      </c>
      <c r="K42" s="80">
        <f>K15-K18</f>
        <v/>
      </c>
      <c r="L42" s="80">
        <f>L15-L18</f>
        <v/>
      </c>
      <c r="M42" s="80">
        <f>M15-M18</f>
        <v/>
      </c>
      <c r="N42" s="80">
        <f>N15-N18</f>
        <v/>
      </c>
      <c r="O42" s="80">
        <f>SUM(C42:N42)</f>
        <v/>
      </c>
      <c r="P42" s="80">
        <f>P15-P18</f>
        <v/>
      </c>
      <c r="Q42" s="80">
        <f>Q15-Q18</f>
        <v/>
      </c>
      <c r="R42" s="80">
        <f>R15-R18</f>
        <v/>
      </c>
      <c r="S42" s="80">
        <f>S15-S18</f>
        <v/>
      </c>
      <c r="T42" s="80">
        <f>T15-T18</f>
        <v/>
      </c>
      <c r="U42" s="80">
        <f>U15-U18</f>
        <v/>
      </c>
      <c r="V42" s="80">
        <f>V15-V18</f>
        <v/>
      </c>
      <c r="W42" s="80">
        <f>W15-W18</f>
        <v/>
      </c>
      <c r="X42" s="80">
        <f>X15-X18</f>
        <v/>
      </c>
      <c r="Y42" s="80">
        <f>Y15-Y18</f>
        <v/>
      </c>
      <c r="Z42" s="80">
        <f>Z15-Z18</f>
        <v/>
      </c>
      <c r="AA42" s="80">
        <f>AA15-AA18</f>
        <v/>
      </c>
      <c r="AB42" s="80">
        <f>SUM(P42:AA42)</f>
        <v/>
      </c>
      <c r="AC42" s="80">
        <f>AC15-AC18</f>
        <v/>
      </c>
      <c r="AD42" s="80">
        <f>AD15-AD18</f>
        <v/>
      </c>
      <c r="AE42" s="80">
        <f>AE15-AE18</f>
        <v/>
      </c>
      <c r="AF42" s="80">
        <f>AF15-AF18</f>
        <v/>
      </c>
      <c r="AG42" s="80">
        <f>AG15-AG18</f>
        <v/>
      </c>
      <c r="AH42" s="80">
        <f>AH15-AH18</f>
        <v/>
      </c>
      <c r="AI42" s="80">
        <f>AI15-AI18</f>
        <v/>
      </c>
      <c r="AJ42" s="80">
        <f>AJ15-AJ18</f>
        <v/>
      </c>
      <c r="AK42" s="80">
        <f>AK15-AK18</f>
        <v/>
      </c>
      <c r="AL42" s="80">
        <f>AL15-AL18</f>
        <v/>
      </c>
      <c r="AM42" s="80">
        <f>AM15-AM18</f>
        <v/>
      </c>
      <c r="AN42" s="80">
        <f>AN15-AN18</f>
        <v/>
      </c>
      <c r="AO42" s="80">
        <f>SUM(AC42:AN42)</f>
        <v/>
      </c>
      <c r="AP42" s="80" t="n"/>
      <c r="AQ42" s="80" t="n"/>
      <c r="AR42" s="80" t="n"/>
    </row>
    <row r="43" ht="15" customHeight="1" s="64">
      <c r="B43" s="80" t="inlineStr">
        <is>
          <t xml:space="preserve">  EBITDA Margin %</t>
        </is>
      </c>
      <c r="C43" s="80">
        <f>IF(Revenue!C30=0,0,C42/Revenue!C30)</f>
        <v/>
      </c>
      <c r="D43" s="80">
        <f>IF(Revenue!D30=0,0,D42/Revenue!D30)</f>
        <v/>
      </c>
      <c r="E43" s="80">
        <f>IF(Revenue!E30=0,0,E42/Revenue!E30)</f>
        <v/>
      </c>
      <c r="F43" s="80">
        <f>IF(Revenue!F30=0,0,F42/Revenue!F30)</f>
        <v/>
      </c>
      <c r="G43" s="80">
        <f>IF(Revenue!G30=0,0,G42/Revenue!G30)</f>
        <v/>
      </c>
      <c r="H43" s="80">
        <f>IF(Revenue!H30=0,0,H42/Revenue!H30)</f>
        <v/>
      </c>
      <c r="I43" s="80">
        <f>IF(Revenue!I30=0,0,I42/Revenue!I30)</f>
        <v/>
      </c>
      <c r="J43" s="80">
        <f>IF(Revenue!J30=0,0,J42/Revenue!J30)</f>
        <v/>
      </c>
      <c r="K43" s="80">
        <f>IF(Revenue!K30=0,0,K42/Revenue!K30)</f>
        <v/>
      </c>
      <c r="L43" s="80">
        <f>IF(Revenue!L30=0,0,L42/Revenue!L30)</f>
        <v/>
      </c>
      <c r="M43" s="80">
        <f>IF(Revenue!M30=0,0,M42/Revenue!M30)</f>
        <v/>
      </c>
      <c r="N43" s="80">
        <f>IF(Revenue!N30=0,0,N42/Revenue!N30)</f>
        <v/>
      </c>
      <c r="O43" s="80">
        <f>IF(Revenue!O30=0,0,O42/Revenue!O30)</f>
        <v/>
      </c>
      <c r="P43" s="80">
        <f>IF(Revenue!P30=0,0,P42/Revenue!P30)</f>
        <v/>
      </c>
      <c r="Q43" s="80">
        <f>IF(Revenue!Q30=0,0,Q42/Revenue!Q30)</f>
        <v/>
      </c>
      <c r="R43" s="80">
        <f>IF(Revenue!R30=0,0,R42/Revenue!R30)</f>
        <v/>
      </c>
      <c r="S43" s="80">
        <f>IF(Revenue!S30=0,0,S42/Revenue!S30)</f>
        <v/>
      </c>
      <c r="T43" s="80">
        <f>IF(Revenue!T30=0,0,T42/Revenue!T30)</f>
        <v/>
      </c>
      <c r="U43" s="80">
        <f>IF(Revenue!U30=0,0,U42/Revenue!U30)</f>
        <v/>
      </c>
      <c r="V43" s="80">
        <f>IF(Revenue!V30=0,0,V42/Revenue!V30)</f>
        <v/>
      </c>
      <c r="W43" s="80">
        <f>IF(Revenue!W30=0,0,W42/Revenue!W30)</f>
        <v/>
      </c>
      <c r="X43" s="80">
        <f>IF(Revenue!X30=0,0,X42/Revenue!X30)</f>
        <v/>
      </c>
      <c r="Y43" s="80">
        <f>IF(Revenue!Y30=0,0,Y42/Revenue!Y30)</f>
        <v/>
      </c>
      <c r="Z43" s="80">
        <f>IF(Revenue!Z30=0,0,Z42/Revenue!Z30)</f>
        <v/>
      </c>
      <c r="AA43" s="80">
        <f>IF(Revenue!AA30=0,0,AA42/Revenue!AA30)</f>
        <v/>
      </c>
      <c r="AB43" s="80">
        <f>IF(Revenue!AB30=0,0,AB42/Revenue!AB30)</f>
        <v/>
      </c>
      <c r="AC43" s="80">
        <f>IF(Revenue!AC30=0,0,AC42/Revenue!AC30)</f>
        <v/>
      </c>
      <c r="AD43" s="80">
        <f>IF(Revenue!AD30=0,0,AD42/Revenue!AD30)</f>
        <v/>
      </c>
      <c r="AE43" s="80">
        <f>IF(Revenue!AE30=0,0,AE42/Revenue!AE30)</f>
        <v/>
      </c>
      <c r="AF43" s="80">
        <f>IF(Revenue!AF30=0,0,AF42/Revenue!AF30)</f>
        <v/>
      </c>
      <c r="AG43" s="80">
        <f>IF(Revenue!AG30=0,0,AG42/Revenue!AG30)</f>
        <v/>
      </c>
      <c r="AH43" s="80">
        <f>IF(Revenue!AH30=0,0,AH42/Revenue!AH30)</f>
        <v/>
      </c>
      <c r="AI43" s="80">
        <f>IF(Revenue!AI30=0,0,AI42/Revenue!AI30)</f>
        <v/>
      </c>
      <c r="AJ43" s="80">
        <f>IF(Revenue!AJ30=0,0,AJ42/Revenue!AJ30)</f>
        <v/>
      </c>
      <c r="AK43" s="80">
        <f>IF(Revenue!AK30=0,0,AK42/Revenue!AK30)</f>
        <v/>
      </c>
      <c r="AL43" s="80">
        <f>IF(Revenue!AL30=0,0,AL42/Revenue!AL30)</f>
        <v/>
      </c>
      <c r="AM43" s="80">
        <f>IF(Revenue!AM30=0,0,AM42/Revenue!AM30)</f>
        <v/>
      </c>
      <c r="AN43" s="80">
        <f>IF(Revenue!AN30=0,0,AN42/Revenue!AN30)</f>
        <v/>
      </c>
      <c r="AO43" s="80">
        <f>IF(Revenue!AO30=0,0,AO42/Revenue!AO30)</f>
        <v/>
      </c>
      <c r="AP43" s="80" t="n"/>
      <c r="AQ43" s="80" t="n"/>
      <c r="AR43" s="80" t="n"/>
    </row>
    <row r="44" ht="15" customHeight="1" s="64"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  <c r="AA44" s="80" t="n"/>
      <c r="AB44" s="80" t="n"/>
      <c r="AC44" s="80" t="n"/>
      <c r="AD44" s="80" t="n"/>
      <c r="AE44" s="80" t="n"/>
      <c r="AF44" s="80" t="n"/>
      <c r="AG44" s="80" t="n"/>
      <c r="AH44" s="80" t="n"/>
      <c r="AI44" s="80" t="n"/>
      <c r="AJ44" s="80" t="n"/>
      <c r="AK44" s="80" t="n"/>
      <c r="AL44" s="80" t="n"/>
      <c r="AM44" s="80" t="n"/>
      <c r="AN44" s="80" t="n"/>
      <c r="AO44" s="80" t="n"/>
      <c r="AP44" s="80" t="n"/>
      <c r="AQ44" s="80" t="n"/>
      <c r="AR44" s="80" t="n"/>
    </row>
    <row r="45" ht="15" customHeight="1" s="64">
      <c r="B45" s="80" t="inlineStr">
        <is>
          <t>Management Incentive Fee (12%)</t>
        </is>
      </c>
      <c r="C45" s="80">
        <f>IF(C42&gt;0,C42*Assumptions!H53,0)</f>
        <v/>
      </c>
      <c r="D45" s="80">
        <f>IF(D42&gt;0,D42*Assumptions!H53,0)</f>
        <v/>
      </c>
      <c r="E45" s="80">
        <f>IF(E42&gt;0,E42*Assumptions!H53,0)</f>
        <v/>
      </c>
      <c r="F45" s="80">
        <f>IF(F42&gt;0,F42*Assumptions!H53,0)</f>
        <v/>
      </c>
      <c r="G45" s="80">
        <f>IF(G42&gt;0,G42*Assumptions!H53,0)</f>
        <v/>
      </c>
      <c r="H45" s="80">
        <f>IF(H42&gt;0,H42*Assumptions!H53,0)</f>
        <v/>
      </c>
      <c r="I45" s="80">
        <f>IF(I42&gt;0,I42*Assumptions!H53,0)</f>
        <v/>
      </c>
      <c r="J45" s="80">
        <f>IF(J42&gt;0,J42*Assumptions!H53,0)</f>
        <v/>
      </c>
      <c r="K45" s="80">
        <f>IF(K42&gt;0,K42*Assumptions!H53,0)</f>
        <v/>
      </c>
      <c r="L45" s="80">
        <f>IF(L42&gt;0,L42*Assumptions!H53,0)</f>
        <v/>
      </c>
      <c r="M45" s="80">
        <f>IF(M42&gt;0,M42*Assumptions!H53,0)</f>
        <v/>
      </c>
      <c r="N45" s="80">
        <f>IF(N42&gt;0,N42*Assumptions!H53,0)</f>
        <v/>
      </c>
      <c r="O45" s="80">
        <f>SUM(C45:N45)</f>
        <v/>
      </c>
      <c r="P45" s="80">
        <f>IF(P42&gt;0,P42*Assumptions!H53,0)</f>
        <v/>
      </c>
      <c r="Q45" s="80">
        <f>IF(Q42&gt;0,Q42*Assumptions!H53,0)</f>
        <v/>
      </c>
      <c r="R45" s="80">
        <f>IF(R42&gt;0,R42*Assumptions!H53,0)</f>
        <v/>
      </c>
      <c r="S45" s="80">
        <f>IF(S42&gt;0,S42*Assumptions!H53,0)</f>
        <v/>
      </c>
      <c r="T45" s="80">
        <f>IF(T42&gt;0,T42*Assumptions!H53,0)</f>
        <v/>
      </c>
      <c r="U45" s="80">
        <f>IF(U42&gt;0,U42*Assumptions!H53,0)</f>
        <v/>
      </c>
      <c r="V45" s="80">
        <f>IF(V42&gt;0,V42*Assumptions!H53,0)</f>
        <v/>
      </c>
      <c r="W45" s="80">
        <f>IF(W42&gt;0,W42*Assumptions!H53,0)</f>
        <v/>
      </c>
      <c r="X45" s="80">
        <f>IF(X42&gt;0,X42*Assumptions!H53,0)</f>
        <v/>
      </c>
      <c r="Y45" s="80">
        <f>IF(Y42&gt;0,Y42*Assumptions!H53,0)</f>
        <v/>
      </c>
      <c r="Z45" s="80">
        <f>IF(Z42&gt;0,Z42*Assumptions!H53,0)</f>
        <v/>
      </c>
      <c r="AA45" s="80">
        <f>IF(AA42&gt;0,AA42*Assumptions!H53,0)</f>
        <v/>
      </c>
      <c r="AB45" s="80">
        <f>SUM(P45:AA45)</f>
        <v/>
      </c>
      <c r="AC45" s="80">
        <f>IF(AC42&gt;0,AC42*Assumptions!H53,0)</f>
        <v/>
      </c>
      <c r="AD45" s="80">
        <f>IF(AD42&gt;0,AD42*Assumptions!H53,0)</f>
        <v/>
      </c>
      <c r="AE45" s="80">
        <f>IF(AE42&gt;0,AE42*Assumptions!H53,0)</f>
        <v/>
      </c>
      <c r="AF45" s="80">
        <f>IF(AF42&gt;0,AF42*Assumptions!H53,0)</f>
        <v/>
      </c>
      <c r="AG45" s="80">
        <f>IF(AG42&gt;0,AG42*Assumptions!H53,0)</f>
        <v/>
      </c>
      <c r="AH45" s="80">
        <f>IF(AH42&gt;0,AH42*Assumptions!H53,0)</f>
        <v/>
      </c>
      <c r="AI45" s="80">
        <f>IF(AI42&gt;0,AI42*Assumptions!H53,0)</f>
        <v/>
      </c>
      <c r="AJ45" s="80">
        <f>IF(AJ42&gt;0,AJ42*Assumptions!H53,0)</f>
        <v/>
      </c>
      <c r="AK45" s="80">
        <f>IF(AK42&gt;0,AK42*Assumptions!H53,0)</f>
        <v/>
      </c>
      <c r="AL45" s="80">
        <f>IF(AL42&gt;0,AL42*Assumptions!H53,0)</f>
        <v/>
      </c>
      <c r="AM45" s="80">
        <f>IF(AM42&gt;0,AM42*Assumptions!H53,0)</f>
        <v/>
      </c>
      <c r="AN45" s="80">
        <f>IF(AN42&gt;0,AN42*Assumptions!H53,0)</f>
        <v/>
      </c>
      <c r="AO45" s="80">
        <f>SUM(AC45:AN45)</f>
        <v/>
      </c>
      <c r="AP45" s="80" t="n"/>
      <c r="AQ45" s="80" t="n"/>
      <c r="AR45" s="80" t="n"/>
    </row>
    <row r="46" ht="15" customHeight="1" s="64"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  <c r="AA46" s="80" t="n"/>
      <c r="AB46" s="80" t="n"/>
      <c r="AC46" s="80" t="n"/>
      <c r="AD46" s="80" t="n"/>
      <c r="AE46" s="80" t="n"/>
      <c r="AF46" s="80" t="n"/>
      <c r="AG46" s="80" t="n"/>
      <c r="AH46" s="80" t="n"/>
      <c r="AI46" s="80" t="n"/>
      <c r="AJ46" s="80" t="n"/>
      <c r="AK46" s="80" t="n"/>
      <c r="AL46" s="80" t="n"/>
      <c r="AM46" s="80" t="n"/>
      <c r="AN46" s="80" t="n"/>
      <c r="AO46" s="80" t="n"/>
      <c r="AP46" s="80" t="n"/>
      <c r="AQ46" s="80" t="n"/>
      <c r="AR46" s="80" t="n"/>
    </row>
    <row r="47" ht="15" customHeight="1" s="64">
      <c r="B47" s="80" t="inlineStr">
        <is>
          <t>NET INCOME (to Shareholders)</t>
        </is>
      </c>
      <c r="C47" s="80">
        <f>C42-C45</f>
        <v/>
      </c>
      <c r="D47" s="80">
        <f>D42-D45</f>
        <v/>
      </c>
      <c r="E47" s="80">
        <f>E42-E45</f>
        <v/>
      </c>
      <c r="F47" s="80">
        <f>F42-F45</f>
        <v/>
      </c>
      <c r="G47" s="80">
        <f>G42-G45</f>
        <v/>
      </c>
      <c r="H47" s="80">
        <f>H42-H45</f>
        <v/>
      </c>
      <c r="I47" s="80">
        <f>I42-I45</f>
        <v/>
      </c>
      <c r="J47" s="80">
        <f>J42-J45</f>
        <v/>
      </c>
      <c r="K47" s="80">
        <f>K42-K45</f>
        <v/>
      </c>
      <c r="L47" s="80">
        <f>L42-L45</f>
        <v/>
      </c>
      <c r="M47" s="80">
        <f>M42-M45</f>
        <v/>
      </c>
      <c r="N47" s="80">
        <f>N42-N45</f>
        <v/>
      </c>
      <c r="O47" s="80">
        <f>SUM(C47:N47)</f>
        <v/>
      </c>
      <c r="P47" s="80">
        <f>P42-P45</f>
        <v/>
      </c>
      <c r="Q47" s="80">
        <f>Q42-Q45</f>
        <v/>
      </c>
      <c r="R47" s="80">
        <f>R42-R45</f>
        <v/>
      </c>
      <c r="S47" s="80">
        <f>S42-S45</f>
        <v/>
      </c>
      <c r="T47" s="80">
        <f>T42-T45</f>
        <v/>
      </c>
      <c r="U47" s="80">
        <f>U42-U45</f>
        <v/>
      </c>
      <c r="V47" s="80">
        <f>V42-V45</f>
        <v/>
      </c>
      <c r="W47" s="80">
        <f>W42-W45</f>
        <v/>
      </c>
      <c r="X47" s="80">
        <f>X42-X45</f>
        <v/>
      </c>
      <c r="Y47" s="80">
        <f>Y42-Y45</f>
        <v/>
      </c>
      <c r="Z47" s="80">
        <f>Z42-Z45</f>
        <v/>
      </c>
      <c r="AA47" s="80">
        <f>AA42-AA45</f>
        <v/>
      </c>
      <c r="AB47" s="80">
        <f>SUM(P47:AA47)</f>
        <v/>
      </c>
      <c r="AC47" s="80">
        <f>AC42-AC45</f>
        <v/>
      </c>
      <c r="AD47" s="80">
        <f>AD42-AD45</f>
        <v/>
      </c>
      <c r="AE47" s="80">
        <f>AE42-AE45</f>
        <v/>
      </c>
      <c r="AF47" s="80">
        <f>AF42-AF45</f>
        <v/>
      </c>
      <c r="AG47" s="80">
        <f>AG42-AG45</f>
        <v/>
      </c>
      <c r="AH47" s="80">
        <f>AH42-AH45</f>
        <v/>
      </c>
      <c r="AI47" s="80">
        <f>AI42-AI45</f>
        <v/>
      </c>
      <c r="AJ47" s="80">
        <f>AJ42-AJ45</f>
        <v/>
      </c>
      <c r="AK47" s="80">
        <f>AK42-AK45</f>
        <v/>
      </c>
      <c r="AL47" s="80">
        <f>AL42-AL45</f>
        <v/>
      </c>
      <c r="AM47" s="80">
        <f>AM42-AM45</f>
        <v/>
      </c>
      <c r="AN47" s="80">
        <f>AN42-AN45</f>
        <v/>
      </c>
      <c r="AO47" s="80">
        <f>SUM(AC47:AN47)</f>
        <v/>
      </c>
      <c r="AP47" s="80" t="n"/>
      <c r="AQ47" s="80" t="n"/>
      <c r="AR47" s="80" t="n"/>
    </row>
    <row r="48" ht="15" customHeight="1" s="64">
      <c r="B48" s="80" t="inlineStr">
        <is>
          <t xml:space="preserve">  Net Margin %</t>
        </is>
      </c>
      <c r="C48" s="80">
        <f>IF(Revenue!C30=0,0,C47/Revenue!C30)</f>
        <v/>
      </c>
      <c r="D48" s="80">
        <f>IF(Revenue!D30=0,0,D47/Revenue!D30)</f>
        <v/>
      </c>
      <c r="E48" s="80">
        <f>IF(Revenue!E30=0,0,E47/Revenue!E30)</f>
        <v/>
      </c>
      <c r="F48" s="80">
        <f>IF(Revenue!F30=0,0,F47/Revenue!F30)</f>
        <v/>
      </c>
      <c r="G48" s="80">
        <f>IF(Revenue!G30=0,0,G47/Revenue!G30)</f>
        <v/>
      </c>
      <c r="H48" s="80">
        <f>IF(Revenue!H30=0,0,H47/Revenue!H30)</f>
        <v/>
      </c>
      <c r="I48" s="80">
        <f>IF(Revenue!I30=0,0,I47/Revenue!I30)</f>
        <v/>
      </c>
      <c r="J48" s="80">
        <f>IF(Revenue!J30=0,0,J47/Revenue!J30)</f>
        <v/>
      </c>
      <c r="K48" s="80">
        <f>IF(Revenue!K30=0,0,K47/Revenue!K30)</f>
        <v/>
      </c>
      <c r="L48" s="80">
        <f>IF(Revenue!L30=0,0,L47/Revenue!L30)</f>
        <v/>
      </c>
      <c r="M48" s="80">
        <f>IF(Revenue!M30=0,0,M47/Revenue!M30)</f>
        <v/>
      </c>
      <c r="N48" s="80">
        <f>IF(Revenue!N30=0,0,N47/Revenue!N30)</f>
        <v/>
      </c>
      <c r="O48" s="80">
        <f>IF(Revenue!O30=0,0,O47/Revenue!O30)</f>
        <v/>
      </c>
      <c r="P48" s="80">
        <f>IF(Revenue!P30=0,0,P47/Revenue!P30)</f>
        <v/>
      </c>
      <c r="Q48" s="80">
        <f>IF(Revenue!Q30=0,0,Q47/Revenue!Q30)</f>
        <v/>
      </c>
      <c r="R48" s="80">
        <f>IF(Revenue!R30=0,0,R47/Revenue!R30)</f>
        <v/>
      </c>
      <c r="S48" s="80">
        <f>IF(Revenue!S30=0,0,S47/Revenue!S30)</f>
        <v/>
      </c>
      <c r="T48" s="80">
        <f>IF(Revenue!T30=0,0,T47/Revenue!T30)</f>
        <v/>
      </c>
      <c r="U48" s="80">
        <f>IF(Revenue!U30=0,0,U47/Revenue!U30)</f>
        <v/>
      </c>
      <c r="V48" s="80">
        <f>IF(Revenue!V30=0,0,V47/Revenue!V30)</f>
        <v/>
      </c>
      <c r="W48" s="80">
        <f>IF(Revenue!W30=0,0,W47/Revenue!W30)</f>
        <v/>
      </c>
      <c r="X48" s="80">
        <f>IF(Revenue!X30=0,0,X47/Revenue!X30)</f>
        <v/>
      </c>
      <c r="Y48" s="80">
        <f>IF(Revenue!Y30=0,0,Y47/Revenue!Y30)</f>
        <v/>
      </c>
      <c r="Z48" s="80">
        <f>IF(Revenue!Z30=0,0,Z47/Revenue!Z30)</f>
        <v/>
      </c>
      <c r="AA48" s="80">
        <f>IF(Revenue!AA30=0,0,AA47/Revenue!AA30)</f>
        <v/>
      </c>
      <c r="AB48" s="80">
        <f>IF(Revenue!AB30=0,0,AB47/Revenue!AB30)</f>
        <v/>
      </c>
      <c r="AC48" s="80">
        <f>IF(Revenue!AC30=0,0,AC47/Revenue!AC30)</f>
        <v/>
      </c>
      <c r="AD48" s="80">
        <f>IF(Revenue!AD30=0,0,AD47/Revenue!AD30)</f>
        <v/>
      </c>
      <c r="AE48" s="80">
        <f>IF(Revenue!AE30=0,0,AE47/Revenue!AE30)</f>
        <v/>
      </c>
      <c r="AF48" s="80">
        <f>IF(Revenue!AF30=0,0,AF47/Revenue!AF30)</f>
        <v/>
      </c>
      <c r="AG48" s="80">
        <f>IF(Revenue!AG30=0,0,AG47/Revenue!AG30)</f>
        <v/>
      </c>
      <c r="AH48" s="80">
        <f>IF(Revenue!AH30=0,0,AH47/Revenue!AH30)</f>
        <v/>
      </c>
      <c r="AI48" s="80">
        <f>IF(Revenue!AI30=0,0,AI47/Revenue!AI30)</f>
        <v/>
      </c>
      <c r="AJ48" s="80">
        <f>IF(Revenue!AJ30=0,0,AJ47/Revenue!AJ30)</f>
        <v/>
      </c>
      <c r="AK48" s="80">
        <f>IF(Revenue!AK30=0,0,AK47/Revenue!AK30)</f>
        <v/>
      </c>
      <c r="AL48" s="80">
        <f>IF(Revenue!AL30=0,0,AL47/Revenue!AL30)</f>
        <v/>
      </c>
      <c r="AM48" s="80">
        <f>IF(Revenue!AM30=0,0,AM47/Revenue!AM30)</f>
        <v/>
      </c>
      <c r="AN48" s="80">
        <f>IF(Revenue!AN30=0,0,AN47/Revenue!AN30)</f>
        <v/>
      </c>
      <c r="AO48" s="80">
        <f>IF(Revenue!AO30=0,0,AO47/Revenue!AO30)</f>
        <v/>
      </c>
      <c r="AP48" s="80" t="n"/>
      <c r="AQ48" s="80" t="n"/>
      <c r="AR48" s="80" t="n"/>
    </row>
    <row r="49" ht="15" customHeight="1" s="64"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  <c r="AA49" s="80" t="n"/>
      <c r="AB49" s="80" t="n"/>
      <c r="AC49" s="80" t="n"/>
      <c r="AD49" s="80" t="n"/>
      <c r="AE49" s="80" t="n"/>
      <c r="AF49" s="80" t="n"/>
      <c r="AG49" s="80" t="n"/>
      <c r="AH49" s="80" t="n"/>
      <c r="AI49" s="80" t="n"/>
      <c r="AJ49" s="80" t="n"/>
      <c r="AK49" s="80" t="n"/>
      <c r="AL49" s="80" t="n"/>
      <c r="AM49" s="80" t="n"/>
      <c r="AN49" s="80" t="n"/>
      <c r="AO49" s="80" t="n"/>
      <c r="AP49" s="80" t="n"/>
      <c r="AQ49" s="80" t="n"/>
      <c r="AR49" s="8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42" customWidth="1" style="63" min="2" max="2"/>
    <col width="18" customWidth="1" style="63" min="3" max="5"/>
  </cols>
  <sheetData>
    <row r="1" ht="17.25" customHeight="1" s="64">
      <c r="B1" s="76" t="inlineStr">
        <is>
          <t>INVESTMENT SUMMARY &amp; RETURNS</t>
        </is>
      </c>
    </row>
    <row r="2"/>
    <row r="3" ht="15" customHeight="1" s="64">
      <c r="B3" s="78" t="inlineStr">
        <is>
          <t>INITIAL INVESTMENT BREAKDOWN (HKD)</t>
        </is>
      </c>
      <c r="C3" s="79" t="n"/>
      <c r="D3" s="79" t="n"/>
    </row>
    <row r="4" ht="15" customHeight="1" s="64">
      <c r="B4" s="122" t="inlineStr">
        <is>
          <t>Item</t>
        </is>
      </c>
      <c r="C4" s="122" t="inlineStr">
        <is>
          <t>Amount (HKD)</t>
        </is>
      </c>
      <c r="D4" s="122" t="inlineStr">
        <is>
          <t>% of Total</t>
        </is>
      </c>
    </row>
    <row r="5" ht="15" customHeight="1" s="64">
      <c r="B5" s="80" t="inlineStr">
        <is>
          <t>Fit out: wine fridge, equipment &amp; furniture</t>
        </is>
      </c>
      <c r="C5" s="81" t="n">
        <v>2546000</v>
      </c>
      <c r="D5" s="92">
        <f>C5/C15</f>
        <v/>
      </c>
    </row>
    <row r="6" ht="15" customHeight="1" s="64">
      <c r="B6" s="80" t="inlineStr">
        <is>
          <t>Rental &amp; utility deposit</t>
        </is>
      </c>
      <c r="C6" s="81" t="n">
        <v>509000</v>
      </c>
      <c r="D6" s="92">
        <f>C6/C15</f>
        <v/>
      </c>
    </row>
    <row r="7" ht="15" customHeight="1" s="64">
      <c r="B7" s="80" t="inlineStr">
        <is>
          <t>First month rent &amp; utilities</t>
        </is>
      </c>
      <c r="C7" s="81" t="n">
        <v>178000</v>
      </c>
      <c r="D7" s="92">
        <f>C7/C15</f>
        <v/>
      </c>
    </row>
    <row r="8" ht="15" customHeight="1" s="64">
      <c r="B8" s="80" t="inlineStr">
        <is>
          <t>Restaurant license &amp; permits</t>
        </is>
      </c>
      <c r="C8" s="81" t="n">
        <v>143000</v>
      </c>
      <c r="D8" s="92">
        <f>C8/C15</f>
        <v/>
      </c>
    </row>
    <row r="9" ht="15" customHeight="1" s="64">
      <c r="B9" s="80" t="inlineStr">
        <is>
          <t>Pre-opening costs</t>
        </is>
      </c>
      <c r="C9" s="81" t="n">
        <v>287000</v>
      </c>
      <c r="D9" s="92">
        <f>C9/C15</f>
        <v/>
      </c>
    </row>
    <row r="10" ht="15" customHeight="1" s="64">
      <c r="B10" s="80" t="inlineStr">
        <is>
          <t>PR &amp; marketing launch</t>
        </is>
      </c>
      <c r="C10" s="81" t="n">
        <v>255000</v>
      </c>
      <c r="D10" s="92">
        <f>C10/C15</f>
        <v/>
      </c>
    </row>
    <row r="11" ht="15" customHeight="1" s="64">
      <c r="B11" s="80" t="inlineStr">
        <is>
          <t>Design fee</t>
        </is>
      </c>
      <c r="C11" s="81" t="n">
        <v>318000</v>
      </c>
      <c r="D11" s="92">
        <f>C11/C15</f>
        <v/>
      </c>
    </row>
    <row r="12" ht="15" customHeight="1" s="64">
      <c r="B12" s="80" t="inlineStr">
        <is>
          <t>Contingency / spare</t>
        </is>
      </c>
      <c r="C12" s="81" t="n">
        <v>254000</v>
      </c>
      <c r="D12" s="92">
        <f>C12/C15</f>
        <v/>
      </c>
    </row>
    <row r="13" ht="15" customHeight="1" s="64">
      <c r="B13" s="80" t="inlineStr">
        <is>
          <t>Wine inventory (initial stock)</t>
        </is>
      </c>
      <c r="C13" s="81" t="n">
        <v>223000</v>
      </c>
      <c r="D13" s="92">
        <f>C13/C15</f>
        <v/>
      </c>
    </row>
    <row r="14" ht="15" customHeight="1" s="64">
      <c r="B14" s="80" t="inlineStr">
        <is>
          <t>Month 1 staff salary</t>
        </is>
      </c>
      <c r="C14" s="81" t="n">
        <v>287000</v>
      </c>
      <c r="D14" s="92">
        <f>C14/C15</f>
        <v/>
      </c>
    </row>
    <row r="15" ht="15" customHeight="1" s="64">
      <c r="B15" s="89" t="inlineStr">
        <is>
          <t>TOTAL INVESTMENT</t>
        </is>
      </c>
      <c r="C15" s="90">
        <f>SUM(C5:C14)</f>
        <v/>
      </c>
    </row>
    <row r="16"/>
    <row r="17" ht="15" customHeight="1" s="64">
      <c r="B17" s="78" t="inlineStr">
        <is>
          <t>RETURN METRICS</t>
        </is>
      </c>
      <c r="C17" s="79" t="n"/>
      <c r="D17" s="79" t="n"/>
      <c r="E17" s="79" t="n"/>
    </row>
    <row r="18" ht="15" customHeight="1" s="64">
      <c r="B18" s="122" t="n"/>
      <c r="C18" s="122" t="inlineStr">
        <is>
          <t>Year 1</t>
        </is>
      </c>
      <c r="D18" s="122" t="inlineStr">
        <is>
          <t>Year 2</t>
        </is>
      </c>
      <c r="E18" s="122" t="inlineStr">
        <is>
          <t>Year 3</t>
        </is>
      </c>
    </row>
    <row r="19" ht="15" customHeight="1" s="64">
      <c r="B19" s="80" t="inlineStr">
        <is>
          <t>Net Revenue</t>
        </is>
      </c>
      <c r="C19" s="123">
        <f>'P&amp;L'!O6</f>
        <v/>
      </c>
      <c r="D19" s="123">
        <f>'P&amp;L'!AB6</f>
        <v/>
      </c>
      <c r="E19" s="123">
        <f>'P&amp;L'!AO6</f>
        <v/>
      </c>
    </row>
    <row r="20" ht="15" customHeight="1" s="64">
      <c r="B20" s="80" t="inlineStr">
        <is>
          <t>Gross Profit</t>
        </is>
      </c>
      <c r="C20" s="123">
        <f>'P&amp;L'!O15</f>
        <v/>
      </c>
      <c r="D20" s="123">
        <f>'P&amp;L'!AB15</f>
        <v/>
      </c>
      <c r="E20" s="123">
        <f>'P&amp;L'!AO15</f>
        <v/>
      </c>
    </row>
    <row r="21" ht="15" customHeight="1" s="64">
      <c r="B21" s="70" t="inlineStr">
        <is>
          <t>EBITDA</t>
        </is>
      </c>
      <c r="C21" s="112">
        <f>'P&amp;L'!O30</f>
        <v/>
      </c>
      <c r="D21" s="112">
        <f>'P&amp;L'!AB30</f>
        <v/>
      </c>
      <c r="E21" s="112">
        <f>'P&amp;L'!AO30</f>
        <v/>
      </c>
    </row>
    <row r="22" ht="15" customHeight="1" s="64">
      <c r="B22" s="70" t="inlineStr">
        <is>
          <t>EBITDA Margin</t>
        </is>
      </c>
      <c r="C22" s="96">
        <f>'P&amp;L'!O31</f>
        <v/>
      </c>
      <c r="D22" s="96">
        <f>'P&amp;L'!AB31</f>
        <v/>
      </c>
      <c r="E22" s="96">
        <f>'P&amp;L'!AO31</f>
        <v/>
      </c>
    </row>
    <row r="23" ht="15" customHeight="1" s="64">
      <c r="B23" s="70" t="inlineStr">
        <is>
          <t>Net Income to Shareholders</t>
        </is>
      </c>
      <c r="C23" s="112">
        <f>'P&amp;L'!O35</f>
        <v/>
      </c>
      <c r="D23" s="112">
        <f>'P&amp;L'!AB35</f>
        <v/>
      </c>
      <c r="E23" s="112">
        <f>'P&amp;L'!AO35</f>
        <v/>
      </c>
    </row>
    <row r="24" ht="15" customHeight="1" s="64">
      <c r="B24" s="80" t="inlineStr">
        <is>
          <t>Net Margin</t>
        </is>
      </c>
      <c r="C24" s="96">
        <f>'P&amp;L'!O36</f>
        <v/>
      </c>
      <c r="D24" s="96">
        <f>'P&amp;L'!AB36</f>
        <v/>
      </c>
      <c r="E24" s="96">
        <f>'P&amp;L'!AO36</f>
        <v/>
      </c>
    </row>
    <row r="25"/>
    <row r="26" ht="15" customHeight="1" s="64">
      <c r="B26" s="70" t="inlineStr">
        <is>
          <t>Cumulative Net Income (3Y)</t>
        </is>
      </c>
      <c r="C26" s="124">
        <f>'P&amp;L'!O35+'P&amp;L'!AB35+'P&amp;L'!AO35</f>
        <v/>
      </c>
      <c r="D26" s="111">
        <f>'P&amp;L'!AB35</f>
        <v/>
      </c>
      <c r="E26" s="111">
        <f>'P&amp;L'!AO35</f>
        <v/>
      </c>
    </row>
    <row r="27" ht="15" customHeight="1" s="64">
      <c r="B27" s="70" t="inlineStr">
        <is>
          <t>Return on Investment (3Y)</t>
        </is>
      </c>
      <c r="C27" s="97">
        <f>C26/C15</f>
        <v/>
      </c>
    </row>
    <row r="28" ht="15" customHeight="1" s="64">
      <c r="B28" s="70" t="inlineStr">
        <is>
          <t>Estimated Payback (months)</t>
        </is>
      </c>
      <c r="C28" s="125">
        <f>IF(('P&amp;L'!O35+'P&amp;L'!AB35+'P&amp;L'!AO35)/36&gt;0,C15/(('P&amp;L'!O35+'P&amp;L'!AB35+'P&amp;L'!AO35)/36),0)</f>
        <v/>
      </c>
    </row>
    <row r="29"/>
    <row r="30" ht="15" customHeight="1" s="64">
      <c r="B30" s="78" t="inlineStr">
        <is>
          <t>DIVIDEND CAPACITY</t>
        </is>
      </c>
    </row>
    <row r="31" ht="15" customHeight="1" s="64">
      <c r="B31" s="82" t="inlineStr">
        <is>
          <t>Assuming 100% payout after payback:</t>
        </is>
      </c>
    </row>
    <row r="32" ht="15" customHeight="1" s="64">
      <c r="B32" s="80" t="inlineStr">
        <is>
          <t>Year 2 Dividend (if payback in Y1)</t>
        </is>
      </c>
      <c r="C32" s="112">
        <f>'P&amp;L'!AB35</f>
        <v/>
      </c>
    </row>
    <row r="33" ht="15" customHeight="1" s="64">
      <c r="B33" s="80" t="inlineStr">
        <is>
          <t>Year 3 Dividend</t>
        </is>
      </c>
      <c r="C33" s="112">
        <f>'P&amp;L'!AO35</f>
        <v/>
      </c>
    </row>
    <row r="34" ht="15" customHeight="1" s="64">
      <c r="B34" s="70" t="inlineStr">
        <is>
          <t>Dividend Yield on Investment (Y3)</t>
        </is>
      </c>
      <c r="C34" s="97">
        <f>'P&amp;L'!AO35/Investment!C15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2026-03-11T12:32:27Z</dcterms:created>
  <dcterms:modified xmlns:dcterms="http://purl.org/dc/terms/" xmlns:xsi="http://www.w3.org/2001/XMLSchema-instance" xsi:type="dcterms:W3CDTF">2026-03-11T13:14:56Z</dcterms:modified>
  <cp:revision>0</cp:revision>
</cp:coreProperties>
</file>